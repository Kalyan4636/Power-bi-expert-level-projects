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- Region" sheetId="3" state="visible" r:id="rId3"/>
    <sheet xmlns:r="http://schemas.openxmlformats.org/officeDocument/2006/relationships" name="Pivot - Product" sheetId="4" state="visible" r:id="rId4"/>
    <sheet xmlns:r="http://schemas.openxmlformats.org/officeDocument/2006/relationships" name="Pivot - Channel" sheetId="5" state="visible" r:id="rId5"/>
    <sheet xmlns:r="http://schemas.openxmlformats.org/officeDocument/2006/relationships" name="Pivot - Year" sheetId="6" state="visible" r:id="rId6"/>
    <sheet xmlns:r="http://schemas.openxmlformats.org/officeDocument/2006/relationships" name="Pivot - Monthly" sheetId="7" state="visible" r:id="rId7"/>
    <sheet xmlns:r="http://schemas.openxmlformats.org/officeDocument/2006/relationships" name="Pivot - Country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dd-mmm-yyyy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2"/>
    </font>
    <font>
      <i val="1"/>
      <color rgb="005B6573"/>
    </font>
    <font>
      <b val="1"/>
      <color rgb="0017365D"/>
      <sz val="18"/>
    </font>
    <font>
      <b val="1"/>
      <color rgb="0017365D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00A6A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0" fontId="6" fillId="0" borderId="0" pivotButton="0" quotePrefix="0" xfId="0"/>
    <xf numFmtId="0" fontId="2" fillId="5" borderId="0" pivotButton="0" quotePrefix="0" xfId="0"/>
    <xf numFmtId="3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6" fontId="0" fillId="0" borderId="2" pivotButton="0" quotePrefix="0" xfId="0"/>
    <xf numFmtId="3" fontId="0" fillId="0" borderId="2" pivotButton="0" quotePrefix="0" xfId="0"/>
    <xf numFmtId="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'Dashboard'!$A$11:$A$17</f>
            </numRef>
          </cat>
          <val>
            <numRef>
              <f>'Dashboard'!$B$11:$B$17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'Dashboard'!$E$11:$E$22</f>
            </numRef>
          </cat>
          <val>
            <numRef>
              <f>'Dashboard'!$F$11:$F$22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'Dashboard'!J10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'Dashboard'!$I$11:$I$18</f>
            </numRef>
          </cat>
          <val>
            <numRef>
              <f>'Dashboard'!$J$11:$J$18</f>
            </numRef>
          </val>
        </ser>
        <ser>
          <idx val="1"/>
          <order val="1"/>
          <tx>
            <strRef>
              <f>'Dashboard'!K10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'Dashboard'!$I$11:$I$18</f>
            </numRef>
          </cat>
          <val>
            <numRef>
              <f>'Dashboard'!$K$11:$K$18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eanedData" displayName="T_CleanedData" ref="A1:V101" headerRowCount="1">
  <autoFilter ref="A1:V101"/>
  <tableColumns count="22">
    <tableColumn id="1" name="Region"/>
    <tableColumn id="2" name="Country"/>
    <tableColumn id="3" name="Item Type"/>
    <tableColumn id="4" name="Sales Channel"/>
    <tableColumn id="5" name="Order Priority"/>
    <tableColumn id="6" name="Order Date"/>
    <tableColumn id="7" name="Order ID"/>
    <tableColumn id="8" name="Ship Date"/>
    <tableColumn id="9" name="Units Sold"/>
    <tableColumn id="10" name="Unit Price"/>
    <tableColumn id="11" name="Unit Cost"/>
    <tableColumn id="12" name="Total Revenue"/>
    <tableColumn id="13" name="Total Cost"/>
    <tableColumn id="14" name="Total Profit"/>
    <tableColumn id="15" name="Year"/>
    <tableColumn id="16" name="Month"/>
    <tableColumn id="17" name="Day"/>
    <tableColumn id="18" name="Month Name"/>
    <tableColumn id="19" name="Quarter"/>
    <tableColumn id="20" name="Ship Days"/>
    <tableColumn id="21" name="Margin %"/>
    <tableColumn id="22" name="Order Cou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PivotRegion" displayName="T_PivotRegion" ref="A1:F8" headerRowCount="1">
  <autoFilter ref="A1:F8"/>
  <tableColumns count="6">
    <tableColumn id="1" name="Region"/>
    <tableColumn id="2" name="Revenue"/>
    <tableColumn id="3" name="Profit"/>
    <tableColumn id="4" name="Units"/>
    <tableColumn id="5" name="Orders"/>
    <tableColumn id="6" name="Margin %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PivotProduct" displayName="T_PivotProduct" ref="A1:F13" headerRowCount="1">
  <autoFilter ref="A1:F13"/>
  <tableColumns count="6">
    <tableColumn id="1" name="Item Type"/>
    <tableColumn id="2" name="Revenue"/>
    <tableColumn id="3" name="Profit"/>
    <tableColumn id="4" name="Units"/>
    <tableColumn id="5" name="Orders"/>
    <tableColumn id="6" name="Margin %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PivotChannel" displayName="T_PivotChannel" ref="A1:F3" headerRowCount="1">
  <autoFilter ref="A1:F3"/>
  <tableColumns count="6">
    <tableColumn id="1" name="Sales Channel"/>
    <tableColumn id="2" name="Revenue"/>
    <tableColumn id="3" name="Profit"/>
    <tableColumn id="4" name="Units"/>
    <tableColumn id="5" name="Orders"/>
    <tableColumn id="6" name="Margin %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PivotYear" displayName="T_PivotYear" ref="A1:F9" headerRowCount="1">
  <autoFilter ref="A1:F9"/>
  <tableColumns count="6">
    <tableColumn id="1" name="Year"/>
    <tableColumn id="2" name="Revenue"/>
    <tableColumn id="3" name="Profit"/>
    <tableColumn id="4" name="Units"/>
    <tableColumn id="5" name="Orders"/>
    <tableColumn id="6" name="Margin %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PivotMonthly" displayName="T_PivotMonthly" ref="A1:F61" headerRowCount="1">
  <autoFilter ref="A1:F61"/>
  <tableColumns count="6">
    <tableColumn id="1" name="Year"/>
    <tableColumn id="2" name="Month"/>
    <tableColumn id="3" name="Month Name"/>
    <tableColumn id="4" name="Revenue"/>
    <tableColumn id="5" name="Profit"/>
    <tableColumn id="6" name="Unit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PivotCountry" displayName="T_PivotCountry" ref="A1:E77" headerRowCount="1">
  <autoFilter ref="A1:E77"/>
  <tableColumns count="5">
    <tableColumn id="1" name="Region"/>
    <tableColumn id="2" name="Country"/>
    <tableColumn id="3" name="Revenue"/>
    <tableColumn id="4" name="Profit"/>
    <tableColumn id="5" name="Uni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" customWidth="1" min="4" max="4"/>
    <col width="22" customWidth="1" min="5" max="5"/>
    <col width="18" customWidth="1" min="6" max="6"/>
    <col width="18" customWidth="1" min="7" max="7"/>
    <col width="3" customWidth="1" min="8" max="8"/>
    <col width="12" customWidth="1" min="9" max="9"/>
    <col width="18" customWidth="1" min="10" max="10"/>
    <col width="18" customWidth="1" min="11" max="11"/>
    <col width="3" customWidth="1" min="12" max="12"/>
    <col width="12" customWidth="1" min="13" max="13"/>
    <col width="12" customWidth="1" min="14" max="14"/>
  </cols>
  <sheetData>
    <row r="1">
      <c r="A1" s="3" t="inlineStr">
        <is>
          <t>GLOBAL SALES PERFORMANCE DASHBOARD</t>
        </is>
      </c>
    </row>
    <row r="2"/>
    <row r="3">
      <c r="A3" s="4" t="inlineStr">
        <is>
          <t>Executive view | Cleaned transactions, pivot summaries and performance trends</t>
        </is>
      </c>
    </row>
    <row r="5" ht="27" customHeight="1">
      <c r="A5" s="5" t="inlineStr">
        <is>
          <t>Total Revenue</t>
        </is>
      </c>
      <c r="D5" s="5" t="inlineStr">
        <is>
          <t>Total Profit</t>
        </is>
      </c>
      <c r="G5" s="5" t="inlineStr">
        <is>
          <t>Profit Margin</t>
        </is>
      </c>
      <c r="J5" s="5" t="inlineStr">
        <is>
          <t>Units Sold</t>
        </is>
      </c>
      <c r="M5" s="5" t="inlineStr">
        <is>
          <t>Orders</t>
        </is>
      </c>
    </row>
    <row r="6" ht="27" customHeight="1">
      <c r="A6" s="6">
        <f>SUM('Cleaned Data'!L:L)</f>
        <v/>
      </c>
      <c r="D6" s="6">
        <f>SUM('Cleaned Data'!N:N)</f>
        <v/>
      </c>
      <c r="G6" s="7">
        <f>IFERROR(E6/C6,0)</f>
        <v/>
      </c>
      <c r="J6" s="6">
        <f>SUM('Cleaned Data'!I:I)</f>
        <v/>
      </c>
      <c r="M6" s="6">
        <f>COUNTA('Cleaned Data'!G:G)-1</f>
        <v/>
      </c>
    </row>
    <row r="9">
      <c r="A9" s="8" t="inlineStr">
        <is>
          <t>Revenue &amp; Profit by Region</t>
        </is>
      </c>
      <c r="E9" s="8" t="inlineStr">
        <is>
          <t>Revenue by Product</t>
        </is>
      </c>
      <c r="I9" s="8" t="inlineStr">
        <is>
          <t>Annual Trend</t>
        </is>
      </c>
    </row>
    <row r="10">
      <c r="A10" s="9" t="inlineStr">
        <is>
          <t>Region</t>
        </is>
      </c>
      <c r="B10" s="9" t="inlineStr">
        <is>
          <t>Revenue</t>
        </is>
      </c>
      <c r="C10" s="9" t="inlineStr">
        <is>
          <t>Profit</t>
        </is>
      </c>
      <c r="D10" s="9" t="n"/>
      <c r="E10" s="9" t="inlineStr">
        <is>
          <t>Item Type</t>
        </is>
      </c>
      <c r="F10" s="9" t="inlineStr">
        <is>
          <t>Revenue</t>
        </is>
      </c>
      <c r="G10" s="9" t="inlineStr">
        <is>
          <t>Profit</t>
        </is>
      </c>
      <c r="H10" s="9" t="n"/>
      <c r="I10" s="9" t="inlineStr">
        <is>
          <t>Year</t>
        </is>
      </c>
      <c r="J10" s="9" t="inlineStr">
        <is>
          <t>Revenue</t>
        </is>
      </c>
      <c r="K10" s="9" t="inlineStr">
        <is>
          <t>Profit</t>
        </is>
      </c>
    </row>
    <row r="11">
      <c r="A11" t="inlineStr">
        <is>
          <t>Sub-Saharan Africa</t>
        </is>
      </c>
      <c r="B11" s="10" t="n">
        <v>39672031.43</v>
      </c>
      <c r="C11" s="10" t="n">
        <v>12183211.4</v>
      </c>
      <c r="E11" t="inlineStr">
        <is>
          <t>Cosmetics</t>
        </is>
      </c>
      <c r="F11" s="10" t="n">
        <v>36601509.6</v>
      </c>
      <c r="G11" s="10" t="n">
        <v>14556048.66</v>
      </c>
      <c r="I11" t="n">
        <v>2010</v>
      </c>
      <c r="J11" s="10" t="n">
        <v>19186024.92</v>
      </c>
      <c r="K11" s="10" t="n">
        <v>6629567.43</v>
      </c>
    </row>
    <row r="12">
      <c r="A12" t="inlineStr">
        <is>
          <t>Europe</t>
        </is>
      </c>
      <c r="B12" s="10" t="n">
        <v>33368932.11</v>
      </c>
      <c r="C12" s="10" t="n">
        <v>11082938.63</v>
      </c>
      <c r="E12" t="inlineStr">
        <is>
          <t>Office Supplies</t>
        </is>
      </c>
      <c r="F12" s="10" t="n">
        <v>30585380.07</v>
      </c>
      <c r="G12" s="10" t="n">
        <v>5929583.75</v>
      </c>
      <c r="I12" t="n">
        <v>2011</v>
      </c>
      <c r="J12" s="10" t="n">
        <v>11129166.07</v>
      </c>
      <c r="K12" s="10" t="n">
        <v>2741008.23</v>
      </c>
    </row>
    <row r="13">
      <c r="A13" t="inlineStr">
        <is>
          <t>Asia</t>
        </is>
      </c>
      <c r="B13" s="10" t="n">
        <v>21347091.02</v>
      </c>
      <c r="C13" s="10" t="n">
        <v>6113845.87</v>
      </c>
      <c r="E13" t="inlineStr">
        <is>
          <t>Household</t>
        </is>
      </c>
      <c r="F13" s="10" t="n">
        <v>29889712.29</v>
      </c>
      <c r="G13" s="10" t="n">
        <v>7412605.71</v>
      </c>
      <c r="I13" t="n">
        <v>2012</v>
      </c>
      <c r="J13" s="10" t="n">
        <v>31898644.52</v>
      </c>
      <c r="K13" s="10" t="n">
        <v>9213010.119999999</v>
      </c>
    </row>
    <row r="14">
      <c r="A14" t="inlineStr">
        <is>
          <t>Australia and Oceania</t>
        </is>
      </c>
      <c r="B14" s="10" t="n">
        <v>14094265.13</v>
      </c>
      <c r="C14" s="10" t="n">
        <v>4722160.03</v>
      </c>
      <c r="E14" t="inlineStr">
        <is>
          <t>Baby Food</t>
        </is>
      </c>
      <c r="F14" s="10" t="n">
        <v>10350327.6</v>
      </c>
      <c r="G14" s="10" t="n">
        <v>3886643.7</v>
      </c>
      <c r="I14" t="n">
        <v>2013</v>
      </c>
      <c r="J14" s="10" t="n">
        <v>20330448.66</v>
      </c>
      <c r="K14" s="10" t="n">
        <v>6715420.04</v>
      </c>
    </row>
    <row r="15">
      <c r="A15" t="inlineStr">
        <is>
          <t>Middle East and North Africa</t>
        </is>
      </c>
      <c r="B15" s="10" t="n">
        <v>14052706.58</v>
      </c>
      <c r="C15" s="10" t="n">
        <v>5761191.859999999</v>
      </c>
      <c r="E15" t="inlineStr">
        <is>
          <t>Clothes</t>
        </is>
      </c>
      <c r="F15" s="10" t="n">
        <v>7787292.8</v>
      </c>
      <c r="G15" s="10" t="n">
        <v>5233334.399999999</v>
      </c>
      <c r="I15" t="n">
        <v>2014</v>
      </c>
      <c r="J15" s="10" t="n">
        <v>16630214.43</v>
      </c>
      <c r="K15" s="10" t="n">
        <v>5879461.68</v>
      </c>
    </row>
    <row r="16">
      <c r="A16" t="inlineStr">
        <is>
          <t>Central America and the Caribbean</t>
        </is>
      </c>
      <c r="B16" s="10" t="n">
        <v>9170385.49</v>
      </c>
      <c r="C16" s="10" t="n">
        <v>2846907.85</v>
      </c>
      <c r="E16" t="inlineStr">
        <is>
          <t>Cereal</t>
        </is>
      </c>
      <c r="F16" s="10" t="n">
        <v>5322898.9</v>
      </c>
      <c r="G16" s="10" t="n">
        <v>2292443.43</v>
      </c>
      <c r="I16" t="n">
        <v>2015</v>
      </c>
      <c r="J16" s="10" t="n">
        <v>12427982.86</v>
      </c>
      <c r="K16" s="10" t="n">
        <v>3996539.44</v>
      </c>
    </row>
    <row r="17">
      <c r="A17" t="inlineStr">
        <is>
          <t>North America</t>
        </is>
      </c>
      <c r="B17" s="10" t="n">
        <v>5643356.55</v>
      </c>
      <c r="C17" s="10" t="n">
        <v>1457942.76</v>
      </c>
      <c r="E17" t="inlineStr">
        <is>
          <t>Meat</t>
        </is>
      </c>
      <c r="F17" s="10" t="n">
        <v>4503675.75</v>
      </c>
      <c r="G17" s="10" t="n">
        <v>610610</v>
      </c>
      <c r="I17" t="n">
        <v>2016</v>
      </c>
      <c r="J17" s="10" t="n">
        <v>12372867.22</v>
      </c>
      <c r="K17" s="10" t="n">
        <v>4903838.01</v>
      </c>
    </row>
    <row r="18">
      <c r="E18" t="inlineStr">
        <is>
          <t>Personal Care</t>
        </is>
      </c>
      <c r="F18" s="10" t="n">
        <v>3980904.84</v>
      </c>
      <c r="G18" s="10" t="n">
        <v>1220622.48</v>
      </c>
      <c r="I18" t="n">
        <v>2017</v>
      </c>
      <c r="J18" s="10" t="n">
        <v>13373419.63</v>
      </c>
      <c r="K18" s="10" t="n">
        <v>4089353.45</v>
      </c>
    </row>
    <row r="19">
      <c r="E19" t="inlineStr">
        <is>
          <t>Vegetables</t>
        </is>
      </c>
      <c r="F19" s="10" t="n">
        <v>3089057.06</v>
      </c>
      <c r="G19" s="10" t="n">
        <v>1265819.63</v>
      </c>
    </row>
    <row r="20">
      <c r="E20" t="inlineStr">
        <is>
          <t>Beverages</t>
        </is>
      </c>
      <c r="F20" s="10" t="n">
        <v>2690794.6</v>
      </c>
      <c r="G20" s="10" t="n">
        <v>888047.28</v>
      </c>
    </row>
    <row r="21">
      <c r="E21" t="inlineStr">
        <is>
          <t>Snacks</t>
        </is>
      </c>
      <c r="F21" s="10" t="n">
        <v>2080733.46</v>
      </c>
      <c r="G21" s="10" t="n">
        <v>751944.1800000001</v>
      </c>
    </row>
    <row r="22">
      <c r="E22" t="inlineStr">
        <is>
          <t>Fruits</t>
        </is>
      </c>
      <c r="F22" s="10" t="n">
        <v>466481.34</v>
      </c>
      <c r="G22" s="10" t="n">
        <v>120495.18</v>
      </c>
    </row>
  </sheetData>
  <mergeCells count="12">
    <mergeCell ref="A1:N2"/>
    <mergeCell ref="J5:L5"/>
    <mergeCell ref="J6:L6"/>
    <mergeCell ref="A3:N3"/>
    <mergeCell ref="D5:F5"/>
    <mergeCell ref="A5:C5"/>
    <mergeCell ref="G5:I5"/>
    <mergeCell ref="G6:I6"/>
    <mergeCell ref="M6:N6"/>
    <mergeCell ref="A6:C6"/>
    <mergeCell ref="M5:N5"/>
    <mergeCell ref="D6:F6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7" customWidth="1" min="3" max="3"/>
    <col width="15" customWidth="1" min="4" max="4"/>
    <col width="16" customWidth="1" min="5" max="5"/>
    <col width="21" customWidth="1" min="6" max="6"/>
    <col width="11" customWidth="1" min="7" max="7"/>
    <col width="21" customWidth="1" min="8" max="8"/>
    <col width="12" customWidth="1" min="9" max="9"/>
    <col width="12" customWidth="1" min="10" max="10"/>
    <col width="11" customWidth="1" min="11" max="11"/>
    <col width="15" customWidth="1" min="12" max="12"/>
    <col width="12" customWidth="1" min="13" max="13"/>
    <col width="14" customWidth="1" min="14" max="14"/>
    <col width="11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20" customWidth="1" min="21" max="21"/>
    <col width="13" customWidth="1" min="22" max="22"/>
  </cols>
  <sheetData>
    <row r="1" ht="24" customHeight="1">
      <c r="A1" s="11" t="inlineStr">
        <is>
          <t>Region</t>
        </is>
      </c>
      <c r="B1" s="11" t="inlineStr">
        <is>
          <t>Country</t>
        </is>
      </c>
      <c r="C1" s="11" t="inlineStr">
        <is>
          <t>Item Type</t>
        </is>
      </c>
      <c r="D1" s="11" t="inlineStr">
        <is>
          <t>Sales Channel</t>
        </is>
      </c>
      <c r="E1" s="11" t="inlineStr">
        <is>
          <t>Order Priority</t>
        </is>
      </c>
      <c r="F1" s="11" t="inlineStr">
        <is>
          <t>Order Date</t>
        </is>
      </c>
      <c r="G1" s="11" t="inlineStr">
        <is>
          <t>Order ID</t>
        </is>
      </c>
      <c r="H1" s="11" t="inlineStr">
        <is>
          <t>Ship Date</t>
        </is>
      </c>
      <c r="I1" s="12" t="inlineStr">
        <is>
          <t>Units Sold</t>
        </is>
      </c>
      <c r="J1" s="13" t="inlineStr">
        <is>
          <t>Unit Price</t>
        </is>
      </c>
      <c r="K1" s="13" t="inlineStr">
        <is>
          <t>Unit Cost</t>
        </is>
      </c>
      <c r="L1" s="13" t="inlineStr">
        <is>
          <t>Total Revenue</t>
        </is>
      </c>
      <c r="M1" s="13" t="inlineStr">
        <is>
          <t>Total Cost</t>
        </is>
      </c>
      <c r="N1" s="13" t="inlineStr">
        <is>
          <t>Total Profit</t>
        </is>
      </c>
      <c r="O1" s="11" t="inlineStr">
        <is>
          <t>Year</t>
        </is>
      </c>
      <c r="P1" s="11" t="inlineStr">
        <is>
          <t>Month</t>
        </is>
      </c>
      <c r="Q1" s="11" t="inlineStr">
        <is>
          <t>Day</t>
        </is>
      </c>
      <c r="R1" s="11" t="inlineStr">
        <is>
          <t>Month Name</t>
        </is>
      </c>
      <c r="S1" s="11" t="inlineStr">
        <is>
          <t>Quarter</t>
        </is>
      </c>
      <c r="T1" s="11" t="inlineStr">
        <is>
          <t>Ship Days</t>
        </is>
      </c>
      <c r="U1" s="14" t="inlineStr">
        <is>
          <t>Margin %</t>
        </is>
      </c>
      <c r="V1" s="11" t="inlineStr">
        <is>
          <t>Order Count</t>
        </is>
      </c>
    </row>
    <row r="2">
      <c r="A2" s="15" t="inlineStr">
        <is>
          <t>Australia and Oceania</t>
        </is>
      </c>
      <c r="B2" s="15" t="inlineStr">
        <is>
          <t>Tuvalu</t>
        </is>
      </c>
      <c r="C2" s="15" t="inlineStr">
        <is>
          <t>Baby Food</t>
        </is>
      </c>
      <c r="D2" s="15" t="inlineStr">
        <is>
          <t>Offline</t>
        </is>
      </c>
      <c r="E2" s="15" t="inlineStr">
        <is>
          <t>H</t>
        </is>
      </c>
      <c r="F2" s="16" t="n">
        <v>40326</v>
      </c>
      <c r="G2" s="15" t="n">
        <v>669165933</v>
      </c>
      <c r="H2" s="16" t="n">
        <v>40356</v>
      </c>
      <c r="I2" s="17" t="n">
        <v>9925</v>
      </c>
      <c r="J2" s="18" t="n">
        <v>255.28</v>
      </c>
      <c r="K2" s="18" t="n">
        <v>159.42</v>
      </c>
      <c r="L2" s="18" t="n">
        <v>2533654</v>
      </c>
      <c r="M2" s="18" t="n">
        <v>1582243.5</v>
      </c>
      <c r="N2" s="18" t="n">
        <v>951410.5</v>
      </c>
      <c r="O2" s="15" t="n">
        <v>2010</v>
      </c>
      <c r="P2" s="15" t="n">
        <v>5</v>
      </c>
      <c r="Q2" s="15" t="n">
        <v>28</v>
      </c>
      <c r="R2" s="15" t="inlineStr">
        <is>
          <t>May</t>
        </is>
      </c>
      <c r="S2" s="15" t="inlineStr">
        <is>
          <t>Q2</t>
        </is>
      </c>
      <c r="T2" s="15" t="n">
        <v>30</v>
      </c>
      <c r="U2" s="19" t="n">
        <v>0.3755092447508618</v>
      </c>
      <c r="V2" s="15" t="n">
        <v>1</v>
      </c>
    </row>
    <row r="3">
      <c r="A3" s="15" t="inlineStr">
        <is>
          <t>Central America and the Caribbean</t>
        </is>
      </c>
      <c r="B3" s="15" t="inlineStr">
        <is>
          <t>Grenada</t>
        </is>
      </c>
      <c r="C3" s="15" t="inlineStr">
        <is>
          <t>Cereal</t>
        </is>
      </c>
      <c r="D3" s="15" t="inlineStr">
        <is>
          <t>Online</t>
        </is>
      </c>
      <c r="E3" s="15" t="inlineStr">
        <is>
          <t>C</t>
        </is>
      </c>
      <c r="F3" s="16" t="n">
        <v>41143</v>
      </c>
      <c r="G3" s="15" t="n">
        <v>963881480</v>
      </c>
      <c r="H3" s="16" t="n">
        <v>41167</v>
      </c>
      <c r="I3" s="17" t="n">
        <v>2804</v>
      </c>
      <c r="J3" s="18" t="n">
        <v>205.7</v>
      </c>
      <c r="K3" s="18" t="n">
        <v>117.11</v>
      </c>
      <c r="L3" s="18" t="n">
        <v>576782.8</v>
      </c>
      <c r="M3" s="18" t="n">
        <v>328376.44</v>
      </c>
      <c r="N3" s="18" t="n">
        <v>248406.36</v>
      </c>
      <c r="O3" s="15" t="n">
        <v>2012</v>
      </c>
      <c r="P3" s="15" t="n">
        <v>8</v>
      </c>
      <c r="Q3" s="15" t="n">
        <v>22</v>
      </c>
      <c r="R3" s="15" t="inlineStr">
        <is>
          <t>Aug</t>
        </is>
      </c>
      <c r="S3" s="15" t="inlineStr">
        <is>
          <t>Q3</t>
        </is>
      </c>
      <c r="T3" s="15" t="n">
        <v>24</v>
      </c>
      <c r="U3" s="19" t="n">
        <v>0.4306757413709285</v>
      </c>
      <c r="V3" s="15" t="n">
        <v>1</v>
      </c>
    </row>
    <row r="4">
      <c r="A4" s="15" t="inlineStr">
        <is>
          <t>Europe</t>
        </is>
      </c>
      <c r="B4" s="15" t="inlineStr">
        <is>
          <t>Russia</t>
        </is>
      </c>
      <c r="C4" s="15" t="inlineStr">
        <is>
          <t>Office Supplies</t>
        </is>
      </c>
      <c r="D4" s="15" t="inlineStr">
        <is>
          <t>Offline</t>
        </is>
      </c>
      <c r="E4" s="15" t="inlineStr">
        <is>
          <t>L</t>
        </is>
      </c>
      <c r="F4" s="16" t="n">
        <v>41761</v>
      </c>
      <c r="G4" s="15" t="n">
        <v>341417157</v>
      </c>
      <c r="H4" s="16" t="n">
        <v>41767</v>
      </c>
      <c r="I4" s="17" t="n">
        <v>1779</v>
      </c>
      <c r="J4" s="18" t="n">
        <v>651.21</v>
      </c>
      <c r="K4" s="18" t="n">
        <v>524.96</v>
      </c>
      <c r="L4" s="18" t="n">
        <v>1158502.59</v>
      </c>
      <c r="M4" s="18" t="n">
        <v>933903.84</v>
      </c>
      <c r="N4" s="18" t="n">
        <v>224598.75</v>
      </c>
      <c r="O4" s="15" t="n">
        <v>2014</v>
      </c>
      <c r="P4" s="15" t="n">
        <v>5</v>
      </c>
      <c r="Q4" s="15" t="n">
        <v>2</v>
      </c>
      <c r="R4" s="15" t="inlineStr">
        <is>
          <t>May</t>
        </is>
      </c>
      <c r="S4" s="15" t="inlineStr">
        <is>
          <t>Q2</t>
        </is>
      </c>
      <c r="T4" s="15" t="n">
        <v>6</v>
      </c>
      <c r="U4" s="19" t="n">
        <v>0.1938698730056357</v>
      </c>
      <c r="V4" s="15" t="n">
        <v>1</v>
      </c>
    </row>
    <row r="5">
      <c r="A5" s="15" t="inlineStr">
        <is>
          <t>Sub-Saharan Africa</t>
        </is>
      </c>
      <c r="B5" s="15" t="inlineStr">
        <is>
          <t>Sao Tome and Principe</t>
        </is>
      </c>
      <c r="C5" s="15" t="inlineStr">
        <is>
          <t>Fruits</t>
        </is>
      </c>
      <c r="D5" s="15" t="inlineStr">
        <is>
          <t>Online</t>
        </is>
      </c>
      <c r="E5" s="15" t="inlineStr">
        <is>
          <t>C</t>
        </is>
      </c>
      <c r="F5" s="16" t="n">
        <v>41810</v>
      </c>
      <c r="G5" s="15" t="n">
        <v>514321792</v>
      </c>
      <c r="H5" s="16" t="n">
        <v>41825</v>
      </c>
      <c r="I5" s="17" t="n">
        <v>8102</v>
      </c>
      <c r="J5" s="18" t="n">
        <v>9.33</v>
      </c>
      <c r="K5" s="18" t="n">
        <v>6.92</v>
      </c>
      <c r="L5" s="18" t="n">
        <v>75591.66</v>
      </c>
      <c r="M5" s="18" t="n">
        <v>56065.84</v>
      </c>
      <c r="N5" s="18" t="n">
        <v>19525.82</v>
      </c>
      <c r="O5" s="15" t="n">
        <v>2014</v>
      </c>
      <c r="P5" s="15" t="n">
        <v>6</v>
      </c>
      <c r="Q5" s="15" t="n">
        <v>20</v>
      </c>
      <c r="R5" s="15" t="inlineStr">
        <is>
          <t>Jun</t>
        </is>
      </c>
      <c r="S5" s="15" t="inlineStr">
        <is>
          <t>Q2</t>
        </is>
      </c>
      <c r="T5" s="15" t="n">
        <v>15</v>
      </c>
      <c r="U5" s="19" t="n">
        <v>0.2583065380493033</v>
      </c>
      <c r="V5" s="15" t="n">
        <v>1</v>
      </c>
    </row>
    <row r="6">
      <c r="A6" s="15" t="inlineStr">
        <is>
          <t>Sub-Saharan Africa</t>
        </is>
      </c>
      <c r="B6" s="15" t="inlineStr">
        <is>
          <t>Rwanda</t>
        </is>
      </c>
      <c r="C6" s="15" t="inlineStr">
        <is>
          <t>Office Supplies</t>
        </is>
      </c>
      <c r="D6" s="15" t="inlineStr">
        <is>
          <t>Offline</t>
        </is>
      </c>
      <c r="E6" s="15" t="inlineStr">
        <is>
          <t>L</t>
        </is>
      </c>
      <c r="F6" s="16" t="n">
        <v>41306</v>
      </c>
      <c r="G6" s="15" t="n">
        <v>115456712</v>
      </c>
      <c r="H6" s="16" t="n">
        <v>41311</v>
      </c>
      <c r="I6" s="17" t="n">
        <v>5062</v>
      </c>
      <c r="J6" s="18" t="n">
        <v>651.21</v>
      </c>
      <c r="K6" s="18" t="n">
        <v>524.96</v>
      </c>
      <c r="L6" s="18" t="n">
        <v>3296425.02</v>
      </c>
      <c r="M6" s="18" t="n">
        <v>2657347.52</v>
      </c>
      <c r="N6" s="18" t="n">
        <v>639077.5</v>
      </c>
      <c r="O6" s="15" t="n">
        <v>2013</v>
      </c>
      <c r="P6" s="15" t="n">
        <v>2</v>
      </c>
      <c r="Q6" s="15" t="n">
        <v>1</v>
      </c>
      <c r="R6" s="15" t="inlineStr">
        <is>
          <t>Feb</t>
        </is>
      </c>
      <c r="S6" s="15" t="inlineStr">
        <is>
          <t>Q1</t>
        </is>
      </c>
      <c r="T6" s="15" t="n">
        <v>5</v>
      </c>
      <c r="U6" s="19" t="n">
        <v>0.1938698730056357</v>
      </c>
      <c r="V6" s="15" t="n">
        <v>1</v>
      </c>
    </row>
    <row r="7">
      <c r="A7" s="15" t="inlineStr">
        <is>
          <t>Australia and Oceania</t>
        </is>
      </c>
      <c r="B7" s="15" t="inlineStr">
        <is>
          <t>Solomon Islands</t>
        </is>
      </c>
      <c r="C7" s="15" t="inlineStr">
        <is>
          <t>Baby Food</t>
        </is>
      </c>
      <c r="D7" s="15" t="inlineStr">
        <is>
          <t>Online</t>
        </is>
      </c>
      <c r="E7" s="15" t="inlineStr">
        <is>
          <t>C</t>
        </is>
      </c>
      <c r="F7" s="16" t="n">
        <v>42039</v>
      </c>
      <c r="G7" s="15" t="n">
        <v>547995746</v>
      </c>
      <c r="H7" s="16" t="n">
        <v>42056</v>
      </c>
      <c r="I7" s="17" t="n">
        <v>2974</v>
      </c>
      <c r="J7" s="18" t="n">
        <v>255.28</v>
      </c>
      <c r="K7" s="18" t="n">
        <v>159.42</v>
      </c>
      <c r="L7" s="18" t="n">
        <v>759202.72</v>
      </c>
      <c r="M7" s="18" t="n">
        <v>474115.08</v>
      </c>
      <c r="N7" s="18" t="n">
        <v>285087.64</v>
      </c>
      <c r="O7" s="15" t="n">
        <v>2015</v>
      </c>
      <c r="P7" s="15" t="n">
        <v>2</v>
      </c>
      <c r="Q7" s="15" t="n">
        <v>4</v>
      </c>
      <c r="R7" s="15" t="inlineStr">
        <is>
          <t>Feb</t>
        </is>
      </c>
      <c r="S7" s="15" t="inlineStr">
        <is>
          <t>Q1</t>
        </is>
      </c>
      <c r="T7" s="15" t="n">
        <v>17</v>
      </c>
      <c r="U7" s="19" t="n">
        <v>0.3755092447508618</v>
      </c>
      <c r="V7" s="15" t="n">
        <v>1</v>
      </c>
    </row>
    <row r="8">
      <c r="A8" s="15" t="inlineStr">
        <is>
          <t>Sub-Saharan Africa</t>
        </is>
      </c>
      <c r="B8" s="15" t="inlineStr">
        <is>
          <t>Angola</t>
        </is>
      </c>
      <c r="C8" s="15" t="inlineStr">
        <is>
          <t>Household</t>
        </is>
      </c>
      <c r="D8" s="15" t="inlineStr">
        <is>
          <t>Offline</t>
        </is>
      </c>
      <c r="E8" s="15" t="inlineStr">
        <is>
          <t>M</t>
        </is>
      </c>
      <c r="F8" s="16" t="n">
        <v>40656</v>
      </c>
      <c r="G8" s="15" t="n">
        <v>135425221</v>
      </c>
      <c r="H8" s="16" t="n">
        <v>40660</v>
      </c>
      <c r="I8" s="17" t="n">
        <v>4187</v>
      </c>
      <c r="J8" s="18" t="n">
        <v>668.27</v>
      </c>
      <c r="K8" s="18" t="n">
        <v>502.54</v>
      </c>
      <c r="L8" s="18" t="n">
        <v>2798046.49</v>
      </c>
      <c r="M8" s="18" t="n">
        <v>2104134.98</v>
      </c>
      <c r="N8" s="18" t="n">
        <v>693911.51</v>
      </c>
      <c r="O8" s="15" t="n">
        <v>2011</v>
      </c>
      <c r="P8" s="15" t="n">
        <v>4</v>
      </c>
      <c r="Q8" s="15" t="n">
        <v>23</v>
      </c>
      <c r="R8" s="15" t="inlineStr">
        <is>
          <t>Apr</t>
        </is>
      </c>
      <c r="S8" s="15" t="inlineStr">
        <is>
          <t>Q2</t>
        </is>
      </c>
      <c r="T8" s="15" t="n">
        <v>4</v>
      </c>
      <c r="U8" s="19" t="n">
        <v>0.247998563454891</v>
      </c>
      <c r="V8" s="15" t="n">
        <v>1</v>
      </c>
    </row>
    <row r="9">
      <c r="A9" s="15" t="inlineStr">
        <is>
          <t>Sub-Saharan Africa</t>
        </is>
      </c>
      <c r="B9" s="15" t="inlineStr">
        <is>
          <t>Burkina Faso</t>
        </is>
      </c>
      <c r="C9" s="15" t="inlineStr">
        <is>
          <t>Vegetables</t>
        </is>
      </c>
      <c r="D9" s="15" t="inlineStr">
        <is>
          <t>Online</t>
        </is>
      </c>
      <c r="E9" s="15" t="inlineStr">
        <is>
          <t>H</t>
        </is>
      </c>
      <c r="F9" s="16" t="n">
        <v>41107</v>
      </c>
      <c r="G9" s="15" t="n">
        <v>871543967</v>
      </c>
      <c r="H9" s="16" t="n">
        <v>41117</v>
      </c>
      <c r="I9" s="17" t="n">
        <v>8082</v>
      </c>
      <c r="J9" s="18" t="n">
        <v>154.06</v>
      </c>
      <c r="K9" s="18" t="n">
        <v>90.93000000000001</v>
      </c>
      <c r="L9" s="18" t="n">
        <v>1245112.92</v>
      </c>
      <c r="M9" s="18" t="n">
        <v>734896.26</v>
      </c>
      <c r="N9" s="18" t="n">
        <v>510216.66</v>
      </c>
      <c r="O9" s="15" t="n">
        <v>2012</v>
      </c>
      <c r="P9" s="15" t="n">
        <v>7</v>
      </c>
      <c r="Q9" s="15" t="n">
        <v>17</v>
      </c>
      <c r="R9" s="15" t="inlineStr">
        <is>
          <t>Jul</t>
        </is>
      </c>
      <c r="S9" s="15" t="inlineStr">
        <is>
          <t>Q3</t>
        </is>
      </c>
      <c r="T9" s="15" t="n">
        <v>10</v>
      </c>
      <c r="U9" s="19" t="n">
        <v>0.4097754121770739</v>
      </c>
      <c r="V9" s="15" t="n">
        <v>1</v>
      </c>
    </row>
    <row r="10">
      <c r="A10" s="15" t="inlineStr">
        <is>
          <t>Sub-Saharan Africa</t>
        </is>
      </c>
      <c r="B10" s="15" t="inlineStr">
        <is>
          <t>Republic of the Congo</t>
        </is>
      </c>
      <c r="C10" s="15" t="inlineStr">
        <is>
          <t>Personal Care</t>
        </is>
      </c>
      <c r="D10" s="15" t="inlineStr">
        <is>
          <t>Offline</t>
        </is>
      </c>
      <c r="E10" s="15" t="inlineStr">
        <is>
          <t>M</t>
        </is>
      </c>
      <c r="F10" s="16" t="n">
        <v>42199</v>
      </c>
      <c r="G10" s="15" t="n">
        <v>770463311</v>
      </c>
      <c r="H10" s="16" t="n">
        <v>42241</v>
      </c>
      <c r="I10" s="17" t="n">
        <v>6070</v>
      </c>
      <c r="J10" s="18" t="n">
        <v>81.73</v>
      </c>
      <c r="K10" s="18" t="n">
        <v>56.67</v>
      </c>
      <c r="L10" s="18" t="n">
        <v>496101.1</v>
      </c>
      <c r="M10" s="18" t="n">
        <v>343986.9</v>
      </c>
      <c r="N10" s="18" t="n">
        <v>152114.2</v>
      </c>
      <c r="O10" s="15" t="n">
        <v>2015</v>
      </c>
      <c r="P10" s="15" t="n">
        <v>7</v>
      </c>
      <c r="Q10" s="15" t="n">
        <v>14</v>
      </c>
      <c r="R10" s="15" t="inlineStr">
        <is>
          <t>Jul</t>
        </is>
      </c>
      <c r="S10" s="15" t="inlineStr">
        <is>
          <t>Q3</t>
        </is>
      </c>
      <c r="T10" s="15" t="n">
        <v>42</v>
      </c>
      <c r="U10" s="19" t="n">
        <v>0.3066193564174722</v>
      </c>
      <c r="V10" s="15" t="n">
        <v>1</v>
      </c>
    </row>
    <row r="11">
      <c r="A11" s="15" t="inlineStr">
        <is>
          <t>Sub-Saharan Africa</t>
        </is>
      </c>
      <c r="B11" s="15" t="inlineStr">
        <is>
          <t>Senegal</t>
        </is>
      </c>
      <c r="C11" s="15" t="inlineStr">
        <is>
          <t>Cereal</t>
        </is>
      </c>
      <c r="D11" s="15" t="inlineStr">
        <is>
          <t>Online</t>
        </is>
      </c>
      <c r="E11" s="15" t="inlineStr">
        <is>
          <t>H</t>
        </is>
      </c>
      <c r="F11" s="16" t="n">
        <v>41747</v>
      </c>
      <c r="G11" s="15" t="n">
        <v>616607081</v>
      </c>
      <c r="H11" s="16" t="n">
        <v>41789</v>
      </c>
      <c r="I11" s="17" t="n">
        <v>6593</v>
      </c>
      <c r="J11" s="18" t="n">
        <v>205.7</v>
      </c>
      <c r="K11" s="18" t="n">
        <v>117.11</v>
      </c>
      <c r="L11" s="18" t="n">
        <v>1356180.1</v>
      </c>
      <c r="M11" s="18" t="n">
        <v>772106.23</v>
      </c>
      <c r="N11" s="18" t="n">
        <v>584073.87</v>
      </c>
      <c r="O11" s="15" t="n">
        <v>2014</v>
      </c>
      <c r="P11" s="15" t="n">
        <v>4</v>
      </c>
      <c r="Q11" s="15" t="n">
        <v>18</v>
      </c>
      <c r="R11" s="15" t="inlineStr">
        <is>
          <t>Apr</t>
        </is>
      </c>
      <c r="S11" s="15" t="inlineStr">
        <is>
          <t>Q2</t>
        </is>
      </c>
      <c r="T11" s="15" t="n">
        <v>42</v>
      </c>
      <c r="U11" s="19" t="n">
        <v>0.4306757413709285</v>
      </c>
      <c r="V11" s="15" t="n">
        <v>1</v>
      </c>
    </row>
    <row r="12">
      <c r="A12" s="15" t="inlineStr">
        <is>
          <t>Asia</t>
        </is>
      </c>
      <c r="B12" s="15" t="inlineStr">
        <is>
          <t>Kyrgyzstan</t>
        </is>
      </c>
      <c r="C12" s="15" t="inlineStr">
        <is>
          <t>Vegetables</t>
        </is>
      </c>
      <c r="D12" s="15" t="inlineStr">
        <is>
          <t>Online</t>
        </is>
      </c>
      <c r="E12" s="15" t="inlineStr">
        <is>
          <t>H</t>
        </is>
      </c>
      <c r="F12" s="16" t="n">
        <v>40718</v>
      </c>
      <c r="G12" s="15" t="n">
        <v>814711606</v>
      </c>
      <c r="H12" s="16" t="n">
        <v>40736</v>
      </c>
      <c r="I12" s="17" t="n">
        <v>124</v>
      </c>
      <c r="J12" s="18" t="n">
        <v>154.06</v>
      </c>
      <c r="K12" s="18" t="n">
        <v>90.93000000000001</v>
      </c>
      <c r="L12" s="18" t="n">
        <v>19103.44</v>
      </c>
      <c r="M12" s="18" t="n">
        <v>11275.32</v>
      </c>
      <c r="N12" s="18" t="n">
        <v>7828.12</v>
      </c>
      <c r="O12" s="15" t="n">
        <v>2011</v>
      </c>
      <c r="P12" s="15" t="n">
        <v>6</v>
      </c>
      <c r="Q12" s="15" t="n">
        <v>24</v>
      </c>
      <c r="R12" s="15" t="inlineStr">
        <is>
          <t>Jun</t>
        </is>
      </c>
      <c r="S12" s="15" t="inlineStr">
        <is>
          <t>Q2</t>
        </is>
      </c>
      <c r="T12" s="15" t="n">
        <v>18</v>
      </c>
      <c r="U12" s="19" t="n">
        <v>0.4097754121770739</v>
      </c>
      <c r="V12" s="15" t="n">
        <v>1</v>
      </c>
    </row>
    <row r="13">
      <c r="A13" s="15" t="inlineStr">
        <is>
          <t>Sub-Saharan Africa</t>
        </is>
      </c>
      <c r="B13" s="15" t="inlineStr">
        <is>
          <t>Cape Verde</t>
        </is>
      </c>
      <c r="C13" s="15" t="inlineStr">
        <is>
          <t>Clothes</t>
        </is>
      </c>
      <c r="D13" s="15" t="inlineStr">
        <is>
          <t>Offline</t>
        </is>
      </c>
      <c r="E13" s="15" t="inlineStr">
        <is>
          <t>H</t>
        </is>
      </c>
      <c r="F13" s="16" t="n">
        <v>41853</v>
      </c>
      <c r="G13" s="15" t="n">
        <v>939825713</v>
      </c>
      <c r="H13" s="16" t="n">
        <v>41870</v>
      </c>
      <c r="I13" s="17" t="n">
        <v>4168</v>
      </c>
      <c r="J13" s="18" t="n">
        <v>109.28</v>
      </c>
      <c r="K13" s="18" t="n">
        <v>35.84</v>
      </c>
      <c r="L13" s="18" t="n">
        <v>455479.04</v>
      </c>
      <c r="M13" s="18" t="n">
        <v>149381.12</v>
      </c>
      <c r="N13" s="18" t="n">
        <v>306097.92</v>
      </c>
      <c r="O13" s="15" t="n">
        <v>2014</v>
      </c>
      <c r="P13" s="15" t="n">
        <v>8</v>
      </c>
      <c r="Q13" s="15" t="n">
        <v>2</v>
      </c>
      <c r="R13" s="15" t="inlineStr">
        <is>
          <t>Aug</t>
        </is>
      </c>
      <c r="S13" s="15" t="inlineStr">
        <is>
          <t>Q3</t>
        </is>
      </c>
      <c r="T13" s="15" t="n">
        <v>17</v>
      </c>
      <c r="U13" s="19" t="n">
        <v>0.6720351390922401</v>
      </c>
      <c r="V13" s="15" t="n">
        <v>1</v>
      </c>
    </row>
    <row r="14">
      <c r="A14" s="15" t="inlineStr">
        <is>
          <t>Asia</t>
        </is>
      </c>
      <c r="B14" s="15" t="inlineStr">
        <is>
          <t>Bangladesh</t>
        </is>
      </c>
      <c r="C14" s="15" t="inlineStr">
        <is>
          <t>Clothes</t>
        </is>
      </c>
      <c r="D14" s="15" t="inlineStr">
        <is>
          <t>Online</t>
        </is>
      </c>
      <c r="E14" s="15" t="inlineStr">
        <is>
          <t>L</t>
        </is>
      </c>
      <c r="F14" s="16" t="n">
        <v>42748</v>
      </c>
      <c r="G14" s="15" t="n">
        <v>187310731</v>
      </c>
      <c r="H14" s="16" t="n">
        <v>42795</v>
      </c>
      <c r="I14" s="17" t="n">
        <v>8263</v>
      </c>
      <c r="J14" s="18" t="n">
        <v>109.28</v>
      </c>
      <c r="K14" s="18" t="n">
        <v>35.84</v>
      </c>
      <c r="L14" s="18" t="n">
        <v>902980.64</v>
      </c>
      <c r="M14" s="18" t="n">
        <v>296145.92</v>
      </c>
      <c r="N14" s="18" t="n">
        <v>606834.72</v>
      </c>
      <c r="O14" s="15" t="n">
        <v>2017</v>
      </c>
      <c r="P14" s="15" t="n">
        <v>1</v>
      </c>
      <c r="Q14" s="15" t="n">
        <v>13</v>
      </c>
      <c r="R14" s="15" t="inlineStr">
        <is>
          <t>Jan</t>
        </is>
      </c>
      <c r="S14" s="15" t="inlineStr">
        <is>
          <t>Q1</t>
        </is>
      </c>
      <c r="T14" s="15" t="n">
        <v>47</v>
      </c>
      <c r="U14" s="19" t="n">
        <v>0.6720351390922401</v>
      </c>
      <c r="V14" s="15" t="n">
        <v>1</v>
      </c>
    </row>
    <row r="15">
      <c r="A15" s="15" t="inlineStr">
        <is>
          <t>Central America and the Caribbean</t>
        </is>
      </c>
      <c r="B15" s="15" t="inlineStr">
        <is>
          <t>Honduras</t>
        </is>
      </c>
      <c r="C15" s="15" t="inlineStr">
        <is>
          <t>Household</t>
        </is>
      </c>
      <c r="D15" s="15" t="inlineStr">
        <is>
          <t>Offline</t>
        </is>
      </c>
      <c r="E15" s="15" t="inlineStr">
        <is>
          <t>H</t>
        </is>
      </c>
      <c r="F15" s="16" t="n">
        <v>42774</v>
      </c>
      <c r="G15" s="15" t="n">
        <v>522840487</v>
      </c>
      <c r="H15" s="16" t="n">
        <v>42779</v>
      </c>
      <c r="I15" s="17" t="n">
        <v>8974</v>
      </c>
      <c r="J15" s="18" t="n">
        <v>668.27</v>
      </c>
      <c r="K15" s="18" t="n">
        <v>502.54</v>
      </c>
      <c r="L15" s="18" t="n">
        <v>5997054.98</v>
      </c>
      <c r="M15" s="18" t="n">
        <v>4509793.96</v>
      </c>
      <c r="N15" s="18" t="n">
        <v>1487261.02</v>
      </c>
      <c r="O15" s="15" t="n">
        <v>2017</v>
      </c>
      <c r="P15" s="15" t="n">
        <v>2</v>
      </c>
      <c r="Q15" s="15" t="n">
        <v>8</v>
      </c>
      <c r="R15" s="15" t="inlineStr">
        <is>
          <t>Feb</t>
        </is>
      </c>
      <c r="S15" s="15" t="inlineStr">
        <is>
          <t>Q1</t>
        </is>
      </c>
      <c r="T15" s="15" t="n">
        <v>5</v>
      </c>
      <c r="U15" s="19" t="n">
        <v>0.247998563454891</v>
      </c>
      <c r="V15" s="15" t="n">
        <v>1</v>
      </c>
    </row>
    <row r="16">
      <c r="A16" s="15" t="inlineStr">
        <is>
          <t>Asia</t>
        </is>
      </c>
      <c r="B16" s="15" t="inlineStr">
        <is>
          <t>Mongolia</t>
        </is>
      </c>
      <c r="C16" s="15" t="inlineStr">
        <is>
          <t>Personal Care</t>
        </is>
      </c>
      <c r="D16" s="15" t="inlineStr">
        <is>
          <t>Offline</t>
        </is>
      </c>
      <c r="E16" s="15" t="inlineStr">
        <is>
          <t>C</t>
        </is>
      </c>
      <c r="F16" s="16" t="n">
        <v>41689</v>
      </c>
      <c r="G16" s="15" t="n">
        <v>832401311</v>
      </c>
      <c r="H16" s="16" t="n">
        <v>41693</v>
      </c>
      <c r="I16" s="17" t="n">
        <v>4901</v>
      </c>
      <c r="J16" s="18" t="n">
        <v>81.73</v>
      </c>
      <c r="K16" s="18" t="n">
        <v>56.67</v>
      </c>
      <c r="L16" s="18" t="n">
        <v>400558.73</v>
      </c>
      <c r="M16" s="18" t="n">
        <v>277739.67</v>
      </c>
      <c r="N16" s="18" t="n">
        <v>122819.06</v>
      </c>
      <c r="O16" s="15" t="n">
        <v>2014</v>
      </c>
      <c r="P16" s="15" t="n">
        <v>2</v>
      </c>
      <c r="Q16" s="15" t="n">
        <v>19</v>
      </c>
      <c r="R16" s="15" t="inlineStr">
        <is>
          <t>Feb</t>
        </is>
      </c>
      <c r="S16" s="15" t="inlineStr">
        <is>
          <t>Q1</t>
        </is>
      </c>
      <c r="T16" s="15" t="n">
        <v>4</v>
      </c>
      <c r="U16" s="19" t="n">
        <v>0.3066193564174722</v>
      </c>
      <c r="V16" s="15" t="n">
        <v>1</v>
      </c>
    </row>
    <row r="17">
      <c r="A17" s="15" t="inlineStr">
        <is>
          <t>Europe</t>
        </is>
      </c>
      <c r="B17" s="15" t="inlineStr">
        <is>
          <t>Bulgaria</t>
        </is>
      </c>
      <c r="C17" s="15" t="inlineStr">
        <is>
          <t>Clothes</t>
        </is>
      </c>
      <c r="D17" s="15" t="inlineStr">
        <is>
          <t>Online</t>
        </is>
      </c>
      <c r="E17" s="15" t="inlineStr">
        <is>
          <t>M</t>
        </is>
      </c>
      <c r="F17" s="16" t="n">
        <v>41022</v>
      </c>
      <c r="G17" s="15" t="n">
        <v>972292029</v>
      </c>
      <c r="H17" s="16" t="n">
        <v>41063</v>
      </c>
      <c r="I17" s="17" t="n">
        <v>1673</v>
      </c>
      <c r="J17" s="18" t="n">
        <v>109.28</v>
      </c>
      <c r="K17" s="18" t="n">
        <v>35.84</v>
      </c>
      <c r="L17" s="18" t="n">
        <v>182825.44</v>
      </c>
      <c r="M17" s="18" t="n">
        <v>59960.32</v>
      </c>
      <c r="N17" s="18" t="n">
        <v>122865.12</v>
      </c>
      <c r="O17" s="15" t="n">
        <v>2012</v>
      </c>
      <c r="P17" s="15" t="n">
        <v>4</v>
      </c>
      <c r="Q17" s="15" t="n">
        <v>23</v>
      </c>
      <c r="R17" s="15" t="inlineStr">
        <is>
          <t>Apr</t>
        </is>
      </c>
      <c r="S17" s="15" t="inlineStr">
        <is>
          <t>Q2</t>
        </is>
      </c>
      <c r="T17" s="15" t="n">
        <v>41</v>
      </c>
      <c r="U17" s="19" t="n">
        <v>0.6720351390922401</v>
      </c>
      <c r="V17" s="15" t="n">
        <v>1</v>
      </c>
    </row>
    <row r="18">
      <c r="A18" s="15" t="inlineStr">
        <is>
          <t>Asia</t>
        </is>
      </c>
      <c r="B18" s="15" t="inlineStr">
        <is>
          <t>Sri Lanka</t>
        </is>
      </c>
      <c r="C18" s="15" t="inlineStr">
        <is>
          <t>Cosmetics</t>
        </is>
      </c>
      <c r="D18" s="15" t="inlineStr">
        <is>
          <t>Offline</t>
        </is>
      </c>
      <c r="E18" s="15" t="inlineStr">
        <is>
          <t>M</t>
        </is>
      </c>
      <c r="F18" s="16" t="n">
        <v>42693</v>
      </c>
      <c r="G18" s="15" t="n">
        <v>419123971</v>
      </c>
      <c r="H18" s="16" t="n">
        <v>42722</v>
      </c>
      <c r="I18" s="17" t="n">
        <v>6952</v>
      </c>
      <c r="J18" s="18" t="n">
        <v>437.2</v>
      </c>
      <c r="K18" s="18" t="n">
        <v>263.33</v>
      </c>
      <c r="L18" s="18" t="n">
        <v>3039414.4</v>
      </c>
      <c r="M18" s="18" t="n">
        <v>1830670.16</v>
      </c>
      <c r="N18" s="18" t="n">
        <v>1208744.24</v>
      </c>
      <c r="O18" s="15" t="n">
        <v>2016</v>
      </c>
      <c r="P18" s="15" t="n">
        <v>11</v>
      </c>
      <c r="Q18" s="15" t="n">
        <v>19</v>
      </c>
      <c r="R18" s="15" t="inlineStr">
        <is>
          <t>Nov</t>
        </is>
      </c>
      <c r="S18" s="15" t="inlineStr">
        <is>
          <t>Q4</t>
        </is>
      </c>
      <c r="T18" s="15" t="n">
        <v>29</v>
      </c>
      <c r="U18" s="19" t="n">
        <v>0.3976898444647758</v>
      </c>
      <c r="V18" s="15" t="n">
        <v>1</v>
      </c>
    </row>
    <row r="19">
      <c r="A19" s="15" t="inlineStr">
        <is>
          <t>Sub-Saharan Africa</t>
        </is>
      </c>
      <c r="B19" s="15" t="inlineStr">
        <is>
          <t>Cameroon</t>
        </is>
      </c>
      <c r="C19" s="15" t="inlineStr">
        <is>
          <t>Beverages</t>
        </is>
      </c>
      <c r="D19" s="15" t="inlineStr">
        <is>
          <t>Offline</t>
        </is>
      </c>
      <c r="E19" s="15" t="inlineStr">
        <is>
          <t>C</t>
        </is>
      </c>
      <c r="F19" s="16" t="n">
        <v>42095</v>
      </c>
      <c r="G19" s="15" t="n">
        <v>519820964</v>
      </c>
      <c r="H19" s="16" t="n">
        <v>42112</v>
      </c>
      <c r="I19" s="17" t="n">
        <v>5430</v>
      </c>
      <c r="J19" s="18" t="n">
        <v>47.45</v>
      </c>
      <c r="K19" s="18" t="n">
        <v>31.79</v>
      </c>
      <c r="L19" s="18" t="n">
        <v>257653.5</v>
      </c>
      <c r="M19" s="18" t="n">
        <v>172619.7</v>
      </c>
      <c r="N19" s="18" t="n">
        <v>85033.8</v>
      </c>
      <c r="O19" s="15" t="n">
        <v>2015</v>
      </c>
      <c r="P19" s="15" t="n">
        <v>4</v>
      </c>
      <c r="Q19" s="15" t="n">
        <v>1</v>
      </c>
      <c r="R19" s="15" t="inlineStr">
        <is>
          <t>Apr</t>
        </is>
      </c>
      <c r="S19" s="15" t="inlineStr">
        <is>
          <t>Q2</t>
        </is>
      </c>
      <c r="T19" s="15" t="n">
        <v>17</v>
      </c>
      <c r="U19" s="19" t="n">
        <v>0.3300316122233931</v>
      </c>
      <c r="V19" s="15" t="n">
        <v>1</v>
      </c>
    </row>
    <row r="20">
      <c r="A20" s="15" t="inlineStr">
        <is>
          <t>Asia</t>
        </is>
      </c>
      <c r="B20" s="15" t="inlineStr">
        <is>
          <t>Turkmenistan</t>
        </is>
      </c>
      <c r="C20" s="15" t="inlineStr">
        <is>
          <t>Household</t>
        </is>
      </c>
      <c r="D20" s="15" t="inlineStr">
        <is>
          <t>Offline</t>
        </is>
      </c>
      <c r="E20" s="15" t="inlineStr">
        <is>
          <t>L</t>
        </is>
      </c>
      <c r="F20" s="16" t="n">
        <v>40542</v>
      </c>
      <c r="G20" s="15" t="n">
        <v>441619336</v>
      </c>
      <c r="H20" s="16" t="n">
        <v>40563</v>
      </c>
      <c r="I20" s="17" t="n">
        <v>3830</v>
      </c>
      <c r="J20" s="18" t="n">
        <v>668.27</v>
      </c>
      <c r="K20" s="18" t="n">
        <v>502.54</v>
      </c>
      <c r="L20" s="18" t="n">
        <v>2559474.1</v>
      </c>
      <c r="M20" s="18" t="n">
        <v>1924728.2</v>
      </c>
      <c r="N20" s="18" t="n">
        <v>634745.9</v>
      </c>
      <c r="O20" s="15" t="n">
        <v>2010</v>
      </c>
      <c r="P20" s="15" t="n">
        <v>12</v>
      </c>
      <c r="Q20" s="15" t="n">
        <v>30</v>
      </c>
      <c r="R20" s="15" t="inlineStr">
        <is>
          <t>Dec</t>
        </is>
      </c>
      <c r="S20" s="15" t="inlineStr">
        <is>
          <t>Q4</t>
        </is>
      </c>
      <c r="T20" s="15" t="n">
        <v>21</v>
      </c>
      <c r="U20" s="19" t="n">
        <v>0.247998563454891</v>
      </c>
      <c r="V20" s="15" t="n">
        <v>1</v>
      </c>
    </row>
    <row r="21">
      <c r="A21" s="15" t="inlineStr">
        <is>
          <t>Australia and Oceania</t>
        </is>
      </c>
      <c r="B21" s="15" t="inlineStr">
        <is>
          <t>East Timor</t>
        </is>
      </c>
      <c r="C21" s="15" t="inlineStr">
        <is>
          <t>Meat</t>
        </is>
      </c>
      <c r="D21" s="15" t="inlineStr">
        <is>
          <t>Online</t>
        </is>
      </c>
      <c r="E21" s="15" t="inlineStr">
        <is>
          <t>L</t>
        </is>
      </c>
      <c r="F21" s="16" t="n">
        <v>41121</v>
      </c>
      <c r="G21" s="15" t="n">
        <v>322067916</v>
      </c>
      <c r="H21" s="16" t="n">
        <v>41163</v>
      </c>
      <c r="I21" s="17" t="n">
        <v>5908</v>
      </c>
      <c r="J21" s="18" t="n">
        <v>421.89</v>
      </c>
      <c r="K21" s="18" t="n">
        <v>364.69</v>
      </c>
      <c r="L21" s="18" t="n">
        <v>2492526.12</v>
      </c>
      <c r="M21" s="18" t="n">
        <v>2154588.52</v>
      </c>
      <c r="N21" s="18" t="n">
        <v>337937.6</v>
      </c>
      <c r="O21" s="15" t="n">
        <v>2012</v>
      </c>
      <c r="P21" s="15" t="n">
        <v>7</v>
      </c>
      <c r="Q21" s="15" t="n">
        <v>31</v>
      </c>
      <c r="R21" s="15" t="inlineStr">
        <is>
          <t>Jul</t>
        </is>
      </c>
      <c r="S21" s="15" t="inlineStr">
        <is>
          <t>Q3</t>
        </is>
      </c>
      <c r="T21" s="15" t="n">
        <v>42</v>
      </c>
      <c r="U21" s="19" t="n">
        <v>0.1355803645500012</v>
      </c>
      <c r="V21" s="15" t="n">
        <v>1</v>
      </c>
    </row>
    <row r="22">
      <c r="A22" s="15" t="inlineStr">
        <is>
          <t>Europe</t>
        </is>
      </c>
      <c r="B22" s="15" t="inlineStr">
        <is>
          <t>Norway</t>
        </is>
      </c>
      <c r="C22" s="15" t="inlineStr">
        <is>
          <t>Baby Food</t>
        </is>
      </c>
      <c r="D22" s="15" t="inlineStr">
        <is>
          <t>Online</t>
        </is>
      </c>
      <c r="E22" s="15" t="inlineStr">
        <is>
          <t>L</t>
        </is>
      </c>
      <c r="F22" s="16" t="n">
        <v>41773</v>
      </c>
      <c r="G22" s="15" t="n">
        <v>819028031</v>
      </c>
      <c r="H22" s="16" t="n">
        <v>41818</v>
      </c>
      <c r="I22" s="17" t="n">
        <v>7450</v>
      </c>
      <c r="J22" s="18" t="n">
        <v>255.28</v>
      </c>
      <c r="K22" s="18" t="n">
        <v>159.42</v>
      </c>
      <c r="L22" s="18" t="n">
        <v>1901836</v>
      </c>
      <c r="M22" s="18" t="n">
        <v>1187679</v>
      </c>
      <c r="N22" s="18" t="n">
        <v>714157</v>
      </c>
      <c r="O22" s="15" t="n">
        <v>2014</v>
      </c>
      <c r="P22" s="15" t="n">
        <v>5</v>
      </c>
      <c r="Q22" s="15" t="n">
        <v>14</v>
      </c>
      <c r="R22" s="15" t="inlineStr">
        <is>
          <t>May</t>
        </is>
      </c>
      <c r="S22" s="15" t="inlineStr">
        <is>
          <t>Q2</t>
        </is>
      </c>
      <c r="T22" s="15" t="n">
        <v>45</v>
      </c>
      <c r="U22" s="19" t="n">
        <v>0.3755092447508618</v>
      </c>
      <c r="V22" s="15" t="n">
        <v>1</v>
      </c>
    </row>
    <row r="23">
      <c r="A23" s="15" t="inlineStr">
        <is>
          <t>Europe</t>
        </is>
      </c>
      <c r="B23" s="15" t="inlineStr">
        <is>
          <t>Portugal</t>
        </is>
      </c>
      <c r="C23" s="15" t="inlineStr">
        <is>
          <t>Baby Food</t>
        </is>
      </c>
      <c r="D23" s="15" t="inlineStr">
        <is>
          <t>Online</t>
        </is>
      </c>
      <c r="E23" s="15" t="inlineStr">
        <is>
          <t>H</t>
        </is>
      </c>
      <c r="F23" s="16" t="n">
        <v>42216</v>
      </c>
      <c r="G23" s="15" t="n">
        <v>860673511</v>
      </c>
      <c r="H23" s="16" t="n">
        <v>42250</v>
      </c>
      <c r="I23" s="17" t="n">
        <v>1273</v>
      </c>
      <c r="J23" s="18" t="n">
        <v>255.28</v>
      </c>
      <c r="K23" s="18" t="n">
        <v>159.42</v>
      </c>
      <c r="L23" s="18" t="n">
        <v>324971.44</v>
      </c>
      <c r="M23" s="18" t="n">
        <v>202941.66</v>
      </c>
      <c r="N23" s="18" t="n">
        <v>122029.78</v>
      </c>
      <c r="O23" s="15" t="n">
        <v>2015</v>
      </c>
      <c r="P23" s="15" t="n">
        <v>7</v>
      </c>
      <c r="Q23" s="15" t="n">
        <v>31</v>
      </c>
      <c r="R23" s="15" t="inlineStr">
        <is>
          <t>Jul</t>
        </is>
      </c>
      <c r="S23" s="15" t="inlineStr">
        <is>
          <t>Q3</t>
        </is>
      </c>
      <c r="T23" s="15" t="n">
        <v>34</v>
      </c>
      <c r="U23" s="19" t="n">
        <v>0.3755092447508618</v>
      </c>
      <c r="V23" s="15" t="n">
        <v>1</v>
      </c>
    </row>
    <row r="24">
      <c r="A24" s="15" t="inlineStr">
        <is>
          <t>Central America and the Caribbean</t>
        </is>
      </c>
      <c r="B24" s="15" t="inlineStr">
        <is>
          <t>Honduras</t>
        </is>
      </c>
      <c r="C24" s="15" t="inlineStr">
        <is>
          <t>Snacks</t>
        </is>
      </c>
      <c r="D24" s="15" t="inlineStr">
        <is>
          <t>Online</t>
        </is>
      </c>
      <c r="E24" s="15" t="inlineStr">
        <is>
          <t>L</t>
        </is>
      </c>
      <c r="F24" s="16" t="n">
        <v>42551</v>
      </c>
      <c r="G24" s="15" t="n">
        <v>795490682</v>
      </c>
      <c r="H24" s="16" t="n">
        <v>42577</v>
      </c>
      <c r="I24" s="17" t="n">
        <v>2225</v>
      </c>
      <c r="J24" s="18" t="n">
        <v>152.58</v>
      </c>
      <c r="K24" s="18" t="n">
        <v>97.44</v>
      </c>
      <c r="L24" s="18" t="n">
        <v>339490.5</v>
      </c>
      <c r="M24" s="18" t="n">
        <v>216804</v>
      </c>
      <c r="N24" s="18" t="n">
        <v>122686.5</v>
      </c>
      <c r="O24" s="15" t="n">
        <v>2016</v>
      </c>
      <c r="P24" s="15" t="n">
        <v>6</v>
      </c>
      <c r="Q24" s="15" t="n">
        <v>30</v>
      </c>
      <c r="R24" s="15" t="inlineStr">
        <is>
          <t>Jun</t>
        </is>
      </c>
      <c r="S24" s="15" t="inlineStr">
        <is>
          <t>Q2</t>
        </is>
      </c>
      <c r="T24" s="15" t="n">
        <v>26</v>
      </c>
      <c r="U24" s="19" t="n">
        <v>0.3613841918993315</v>
      </c>
      <c r="V24" s="15" t="n">
        <v>1</v>
      </c>
    </row>
    <row r="25">
      <c r="A25" s="15" t="inlineStr">
        <is>
          <t>Australia and Oceania</t>
        </is>
      </c>
      <c r="B25" s="15" t="inlineStr">
        <is>
          <t>New Zealand</t>
        </is>
      </c>
      <c r="C25" s="15" t="inlineStr">
        <is>
          <t>Fruits</t>
        </is>
      </c>
      <c r="D25" s="15" t="inlineStr">
        <is>
          <t>Online</t>
        </is>
      </c>
      <c r="E25" s="15" t="inlineStr">
        <is>
          <t>H</t>
        </is>
      </c>
      <c r="F25" s="16" t="n">
        <v>41890</v>
      </c>
      <c r="G25" s="15" t="n">
        <v>142278373</v>
      </c>
      <c r="H25" s="16" t="n">
        <v>41916</v>
      </c>
      <c r="I25" s="17" t="n">
        <v>2187</v>
      </c>
      <c r="J25" s="18" t="n">
        <v>9.33</v>
      </c>
      <c r="K25" s="18" t="n">
        <v>6.92</v>
      </c>
      <c r="L25" s="18" t="n">
        <v>20404.71</v>
      </c>
      <c r="M25" s="18" t="n">
        <v>15134.04</v>
      </c>
      <c r="N25" s="18" t="n">
        <v>5270.67</v>
      </c>
      <c r="O25" s="15" t="n">
        <v>2014</v>
      </c>
      <c r="P25" s="15" t="n">
        <v>9</v>
      </c>
      <c r="Q25" s="15" t="n">
        <v>8</v>
      </c>
      <c r="R25" s="15" t="inlineStr">
        <is>
          <t>Sep</t>
        </is>
      </c>
      <c r="S25" s="15" t="inlineStr">
        <is>
          <t>Q3</t>
        </is>
      </c>
      <c r="T25" s="15" t="n">
        <v>26</v>
      </c>
      <c r="U25" s="19" t="n">
        <v>0.2583065380493033</v>
      </c>
      <c r="V25" s="15" t="n">
        <v>1</v>
      </c>
    </row>
    <row r="26">
      <c r="A26" s="15" t="inlineStr">
        <is>
          <t>Europe</t>
        </is>
      </c>
      <c r="B26" s="15" t="inlineStr">
        <is>
          <t>Moldova</t>
        </is>
      </c>
      <c r="C26" s="15" t="inlineStr">
        <is>
          <t>Personal Care</t>
        </is>
      </c>
      <c r="D26" s="15" t="inlineStr">
        <is>
          <t>Online</t>
        </is>
      </c>
      <c r="E26" s="15" t="inlineStr">
        <is>
          <t>L</t>
        </is>
      </c>
      <c r="F26" s="16" t="n">
        <v>42497</v>
      </c>
      <c r="G26" s="15" t="n">
        <v>740147912</v>
      </c>
      <c r="H26" s="16" t="n">
        <v>42500</v>
      </c>
      <c r="I26" s="17" t="n">
        <v>5070</v>
      </c>
      <c r="J26" s="18" t="n">
        <v>81.73</v>
      </c>
      <c r="K26" s="18" t="n">
        <v>56.67</v>
      </c>
      <c r="L26" s="18" t="n">
        <v>414371.1</v>
      </c>
      <c r="M26" s="18" t="n">
        <v>287316.9</v>
      </c>
      <c r="N26" s="18" t="n">
        <v>127054.2</v>
      </c>
      <c r="O26" s="15" t="n">
        <v>2016</v>
      </c>
      <c r="P26" s="15" t="n">
        <v>5</v>
      </c>
      <c r="Q26" s="15" t="n">
        <v>7</v>
      </c>
      <c r="R26" s="15" t="inlineStr">
        <is>
          <t>May</t>
        </is>
      </c>
      <c r="S26" s="15" t="inlineStr">
        <is>
          <t>Q2</t>
        </is>
      </c>
      <c r="T26" s="15" t="n">
        <v>3</v>
      </c>
      <c r="U26" s="19" t="n">
        <v>0.3066193564174722</v>
      </c>
      <c r="V26" s="15" t="n">
        <v>1</v>
      </c>
    </row>
    <row r="27">
      <c r="A27" s="15" t="inlineStr">
        <is>
          <t>Europe</t>
        </is>
      </c>
      <c r="B27" s="15" t="inlineStr">
        <is>
          <t>France</t>
        </is>
      </c>
      <c r="C27" s="15" t="inlineStr">
        <is>
          <t>Cosmetics</t>
        </is>
      </c>
      <c r="D27" s="15" t="inlineStr">
        <is>
          <t>Online</t>
        </is>
      </c>
      <c r="E27" s="15" t="inlineStr">
        <is>
          <t>H</t>
        </is>
      </c>
      <c r="F27" s="16" t="n">
        <v>42877</v>
      </c>
      <c r="G27" s="15" t="n">
        <v>898523128</v>
      </c>
      <c r="H27" s="16" t="n">
        <v>42891</v>
      </c>
      <c r="I27" s="17" t="n">
        <v>1815</v>
      </c>
      <c r="J27" s="18" t="n">
        <v>437.2</v>
      </c>
      <c r="K27" s="18" t="n">
        <v>263.33</v>
      </c>
      <c r="L27" s="18" t="n">
        <v>793518</v>
      </c>
      <c r="M27" s="18" t="n">
        <v>477943.95</v>
      </c>
      <c r="N27" s="18" t="n">
        <v>315574.05</v>
      </c>
      <c r="O27" s="15" t="n">
        <v>2017</v>
      </c>
      <c r="P27" s="15" t="n">
        <v>5</v>
      </c>
      <c r="Q27" s="15" t="n">
        <v>22</v>
      </c>
      <c r="R27" s="15" t="inlineStr">
        <is>
          <t>May</t>
        </is>
      </c>
      <c r="S27" s="15" t="inlineStr">
        <is>
          <t>Q2</t>
        </is>
      </c>
      <c r="T27" s="15" t="n">
        <v>14</v>
      </c>
      <c r="U27" s="19" t="n">
        <v>0.3976898444647758</v>
      </c>
      <c r="V27" s="15" t="n">
        <v>1</v>
      </c>
    </row>
    <row r="28">
      <c r="A28" s="15" t="inlineStr">
        <is>
          <t>Australia and Oceania</t>
        </is>
      </c>
      <c r="B28" s="15" t="inlineStr">
        <is>
          <t>Kiribati</t>
        </is>
      </c>
      <c r="C28" s="15" t="inlineStr">
        <is>
          <t>Fruits</t>
        </is>
      </c>
      <c r="D28" s="15" t="inlineStr">
        <is>
          <t>Online</t>
        </is>
      </c>
      <c r="E28" s="15" t="inlineStr">
        <is>
          <t>M</t>
        </is>
      </c>
      <c r="F28" s="16" t="n">
        <v>41925</v>
      </c>
      <c r="G28" s="15" t="n">
        <v>347140347</v>
      </c>
      <c r="H28" s="16" t="n">
        <v>41953</v>
      </c>
      <c r="I28" s="17" t="n">
        <v>5398</v>
      </c>
      <c r="J28" s="18" t="n">
        <v>9.33</v>
      </c>
      <c r="K28" s="18" t="n">
        <v>6.92</v>
      </c>
      <c r="L28" s="18" t="n">
        <v>50363.34</v>
      </c>
      <c r="M28" s="18" t="n">
        <v>37354.16</v>
      </c>
      <c r="N28" s="18" t="n">
        <v>13009.18</v>
      </c>
      <c r="O28" s="15" t="n">
        <v>2014</v>
      </c>
      <c r="P28" s="15" t="n">
        <v>10</v>
      </c>
      <c r="Q28" s="15" t="n">
        <v>13</v>
      </c>
      <c r="R28" s="15" t="inlineStr">
        <is>
          <t>Oct</t>
        </is>
      </c>
      <c r="S28" s="15" t="inlineStr">
        <is>
          <t>Q4</t>
        </is>
      </c>
      <c r="T28" s="15" t="n">
        <v>28</v>
      </c>
      <c r="U28" s="19" t="n">
        <v>0.2583065380493034</v>
      </c>
      <c r="V28" s="15" t="n">
        <v>1</v>
      </c>
    </row>
    <row r="29">
      <c r="A29" s="15" t="inlineStr">
        <is>
          <t>Sub-Saharan Africa</t>
        </is>
      </c>
      <c r="B29" s="15" t="inlineStr">
        <is>
          <t>Mali</t>
        </is>
      </c>
      <c r="C29" s="15" t="inlineStr">
        <is>
          <t>Fruits</t>
        </is>
      </c>
      <c r="D29" s="15" t="inlineStr">
        <is>
          <t>Online</t>
        </is>
      </c>
      <c r="E29" s="15" t="inlineStr">
        <is>
          <t>L</t>
        </is>
      </c>
      <c r="F29" s="16" t="n">
        <v>40305</v>
      </c>
      <c r="G29" s="15" t="n">
        <v>686048400</v>
      </c>
      <c r="H29" s="16" t="n">
        <v>40308</v>
      </c>
      <c r="I29" s="17" t="n">
        <v>5822</v>
      </c>
      <c r="J29" s="18" t="n">
        <v>9.33</v>
      </c>
      <c r="K29" s="18" t="n">
        <v>6.92</v>
      </c>
      <c r="L29" s="18" t="n">
        <v>54319.26</v>
      </c>
      <c r="M29" s="18" t="n">
        <v>40288.24</v>
      </c>
      <c r="N29" s="18" t="n">
        <v>14031.02</v>
      </c>
      <c r="O29" s="15" t="n">
        <v>2010</v>
      </c>
      <c r="P29" s="15" t="n">
        <v>5</v>
      </c>
      <c r="Q29" s="15" t="n">
        <v>7</v>
      </c>
      <c r="R29" s="15" t="inlineStr">
        <is>
          <t>May</t>
        </is>
      </c>
      <c r="S29" s="15" t="inlineStr">
        <is>
          <t>Q2</t>
        </is>
      </c>
      <c r="T29" s="15" t="n">
        <v>3</v>
      </c>
      <c r="U29" s="19" t="n">
        <v>0.2583065380493033</v>
      </c>
      <c r="V29" s="15" t="n">
        <v>1</v>
      </c>
    </row>
    <row r="30">
      <c r="A30" s="15" t="inlineStr">
        <is>
          <t>Europe</t>
        </is>
      </c>
      <c r="B30" s="15" t="inlineStr">
        <is>
          <t>Norway</t>
        </is>
      </c>
      <c r="C30" s="15" t="inlineStr">
        <is>
          <t>Beverages</t>
        </is>
      </c>
      <c r="D30" s="15" t="inlineStr">
        <is>
          <t>Offline</t>
        </is>
      </c>
      <c r="E30" s="15" t="inlineStr">
        <is>
          <t>C</t>
        </is>
      </c>
      <c r="F30" s="16" t="n">
        <v>41838</v>
      </c>
      <c r="G30" s="15" t="n">
        <v>435608613</v>
      </c>
      <c r="H30" s="16" t="n">
        <v>41850</v>
      </c>
      <c r="I30" s="17" t="n">
        <v>5124</v>
      </c>
      <c r="J30" s="18" t="n">
        <v>47.45</v>
      </c>
      <c r="K30" s="18" t="n">
        <v>31.79</v>
      </c>
      <c r="L30" s="18" t="n">
        <v>243133.8</v>
      </c>
      <c r="M30" s="18" t="n">
        <v>162891.96</v>
      </c>
      <c r="N30" s="18" t="n">
        <v>80241.84</v>
      </c>
      <c r="O30" s="15" t="n">
        <v>2014</v>
      </c>
      <c r="P30" s="15" t="n">
        <v>7</v>
      </c>
      <c r="Q30" s="15" t="n">
        <v>18</v>
      </c>
      <c r="R30" s="15" t="inlineStr">
        <is>
          <t>Jul</t>
        </is>
      </c>
      <c r="S30" s="15" t="inlineStr">
        <is>
          <t>Q3</t>
        </is>
      </c>
      <c r="T30" s="15" t="n">
        <v>12</v>
      </c>
      <c r="U30" s="19" t="n">
        <v>0.3300316122233931</v>
      </c>
      <c r="V30" s="15" t="n">
        <v>1</v>
      </c>
    </row>
    <row r="31">
      <c r="A31" s="15" t="inlineStr">
        <is>
          <t>Sub-Saharan Africa</t>
        </is>
      </c>
      <c r="B31" s="15" t="inlineStr">
        <is>
          <t>The Gambia</t>
        </is>
      </c>
      <c r="C31" s="15" t="inlineStr">
        <is>
          <t>Household</t>
        </is>
      </c>
      <c r="D31" s="15" t="inlineStr">
        <is>
          <t>Offline</t>
        </is>
      </c>
      <c r="E31" s="15" t="inlineStr">
        <is>
          <t>L</t>
        </is>
      </c>
      <c r="F31" s="16" t="n">
        <v>41055</v>
      </c>
      <c r="G31" s="15" t="n">
        <v>886494815</v>
      </c>
      <c r="H31" s="16" t="n">
        <v>41069</v>
      </c>
      <c r="I31" s="17" t="n">
        <v>2370</v>
      </c>
      <c r="J31" s="18" t="n">
        <v>668.27</v>
      </c>
      <c r="K31" s="18" t="n">
        <v>502.54</v>
      </c>
      <c r="L31" s="18" t="n">
        <v>1583799.9</v>
      </c>
      <c r="M31" s="18" t="n">
        <v>1191019.8</v>
      </c>
      <c r="N31" s="18" t="n">
        <v>392780.1</v>
      </c>
      <c r="O31" s="15" t="n">
        <v>2012</v>
      </c>
      <c r="P31" s="15" t="n">
        <v>5</v>
      </c>
      <c r="Q31" s="15" t="n">
        <v>26</v>
      </c>
      <c r="R31" s="15" t="inlineStr">
        <is>
          <t>May</t>
        </is>
      </c>
      <c r="S31" s="15" t="inlineStr">
        <is>
          <t>Q2</t>
        </is>
      </c>
      <c r="T31" s="15" t="n">
        <v>14</v>
      </c>
      <c r="U31" s="19" t="n">
        <v>0.247998563454891</v>
      </c>
      <c r="V31" s="15" t="n">
        <v>1</v>
      </c>
    </row>
    <row r="32">
      <c r="A32" s="15" t="inlineStr">
        <is>
          <t>Europe</t>
        </is>
      </c>
      <c r="B32" s="15" t="inlineStr">
        <is>
          <t>Switzerland</t>
        </is>
      </c>
      <c r="C32" s="15" t="inlineStr">
        <is>
          <t>Cosmetics</t>
        </is>
      </c>
      <c r="D32" s="15" t="inlineStr">
        <is>
          <t>Offline</t>
        </is>
      </c>
      <c r="E32" s="15" t="inlineStr">
        <is>
          <t>M</t>
        </is>
      </c>
      <c r="F32" s="16" t="n">
        <v>41169</v>
      </c>
      <c r="G32" s="15" t="n">
        <v>249693334</v>
      </c>
      <c r="H32" s="16" t="n">
        <v>41202</v>
      </c>
      <c r="I32" s="17" t="n">
        <v>8661</v>
      </c>
      <c r="J32" s="18" t="n">
        <v>437.2</v>
      </c>
      <c r="K32" s="18" t="n">
        <v>263.33</v>
      </c>
      <c r="L32" s="18" t="n">
        <v>3786589.2</v>
      </c>
      <c r="M32" s="18" t="n">
        <v>2280701.13</v>
      </c>
      <c r="N32" s="18" t="n">
        <v>1505888.07</v>
      </c>
      <c r="O32" s="15" t="n">
        <v>2012</v>
      </c>
      <c r="P32" s="15" t="n">
        <v>9</v>
      </c>
      <c r="Q32" s="15" t="n">
        <v>17</v>
      </c>
      <c r="R32" s="15" t="inlineStr">
        <is>
          <t>Sep</t>
        </is>
      </c>
      <c r="S32" s="15" t="inlineStr">
        <is>
          <t>Q3</t>
        </is>
      </c>
      <c r="T32" s="15" t="n">
        <v>33</v>
      </c>
      <c r="U32" s="19" t="n">
        <v>0.3976898444647758</v>
      </c>
      <c r="V32" s="15" t="n">
        <v>1</v>
      </c>
    </row>
    <row r="33">
      <c r="A33" s="15" t="inlineStr">
        <is>
          <t>Sub-Saharan Africa</t>
        </is>
      </c>
      <c r="B33" s="15" t="inlineStr">
        <is>
          <t>South Sudan</t>
        </is>
      </c>
      <c r="C33" s="15" t="inlineStr">
        <is>
          <t>Personal Care</t>
        </is>
      </c>
      <c r="D33" s="15" t="inlineStr">
        <is>
          <t>Offline</t>
        </is>
      </c>
      <c r="E33" s="15" t="inlineStr">
        <is>
          <t>C</t>
        </is>
      </c>
      <c r="F33" s="16" t="n">
        <v>41637</v>
      </c>
      <c r="G33" s="15" t="n">
        <v>406502997</v>
      </c>
      <c r="H33" s="16" t="n">
        <v>41667</v>
      </c>
      <c r="I33" s="17" t="n">
        <v>2125</v>
      </c>
      <c r="J33" s="18" t="n">
        <v>81.73</v>
      </c>
      <c r="K33" s="18" t="n">
        <v>56.67</v>
      </c>
      <c r="L33" s="18" t="n">
        <v>173676.25</v>
      </c>
      <c r="M33" s="18" t="n">
        <v>120423.75</v>
      </c>
      <c r="N33" s="18" t="n">
        <v>53252.5</v>
      </c>
      <c r="O33" s="15" t="n">
        <v>2013</v>
      </c>
      <c r="P33" s="15" t="n">
        <v>12</v>
      </c>
      <c r="Q33" s="15" t="n">
        <v>29</v>
      </c>
      <c r="R33" s="15" t="inlineStr">
        <is>
          <t>Dec</t>
        </is>
      </c>
      <c r="S33" s="15" t="inlineStr">
        <is>
          <t>Q4</t>
        </is>
      </c>
      <c r="T33" s="15" t="n">
        <v>30</v>
      </c>
      <c r="U33" s="19" t="n">
        <v>0.3066193564174722</v>
      </c>
      <c r="V33" s="15" t="n">
        <v>1</v>
      </c>
    </row>
    <row r="34">
      <c r="A34" s="15" t="inlineStr">
        <is>
          <t>Australia and Oceania</t>
        </is>
      </c>
      <c r="B34" s="15" t="inlineStr">
        <is>
          <t>Australia</t>
        </is>
      </c>
      <c r="C34" s="15" t="inlineStr">
        <is>
          <t>Office Supplies</t>
        </is>
      </c>
      <c r="D34" s="15" t="inlineStr">
        <is>
          <t>Online</t>
        </is>
      </c>
      <c r="E34" s="15" t="inlineStr">
        <is>
          <t>C</t>
        </is>
      </c>
      <c r="F34" s="16" t="n">
        <v>42304</v>
      </c>
      <c r="G34" s="15" t="n">
        <v>158535134</v>
      </c>
      <c r="H34" s="16" t="n">
        <v>42333</v>
      </c>
      <c r="I34" s="17" t="n">
        <v>2924</v>
      </c>
      <c r="J34" s="18" t="n">
        <v>651.21</v>
      </c>
      <c r="K34" s="18" t="n">
        <v>524.96</v>
      </c>
      <c r="L34" s="18" t="n">
        <v>1904138.04</v>
      </c>
      <c r="M34" s="18" t="n">
        <v>1534983.04</v>
      </c>
      <c r="N34" s="18" t="n">
        <v>369155</v>
      </c>
      <c r="O34" s="15" t="n">
        <v>2015</v>
      </c>
      <c r="P34" s="15" t="n">
        <v>10</v>
      </c>
      <c r="Q34" s="15" t="n">
        <v>27</v>
      </c>
      <c r="R34" s="15" t="inlineStr">
        <is>
          <t>Oct</t>
        </is>
      </c>
      <c r="S34" s="15" t="inlineStr">
        <is>
          <t>Q4</t>
        </is>
      </c>
      <c r="T34" s="15" t="n">
        <v>29</v>
      </c>
      <c r="U34" s="19" t="n">
        <v>0.1938698730056357</v>
      </c>
      <c r="V34" s="15" t="n">
        <v>1</v>
      </c>
    </row>
    <row r="35">
      <c r="A35" s="15" t="inlineStr">
        <is>
          <t>Asia</t>
        </is>
      </c>
      <c r="B35" s="15" t="inlineStr">
        <is>
          <t>Myanmar</t>
        </is>
      </c>
      <c r="C35" s="15" t="inlineStr">
        <is>
          <t>Household</t>
        </is>
      </c>
      <c r="D35" s="15" t="inlineStr">
        <is>
          <t>Offline</t>
        </is>
      </c>
      <c r="E35" s="15" t="inlineStr">
        <is>
          <t>H</t>
        </is>
      </c>
      <c r="F35" s="16" t="n">
        <v>42020</v>
      </c>
      <c r="G35" s="15" t="n">
        <v>177713572</v>
      </c>
      <c r="H35" s="16" t="n">
        <v>42064</v>
      </c>
      <c r="I35" s="17" t="n">
        <v>8250</v>
      </c>
      <c r="J35" s="18" t="n">
        <v>668.27</v>
      </c>
      <c r="K35" s="18" t="n">
        <v>502.54</v>
      </c>
      <c r="L35" s="18" t="n">
        <v>5513227.5</v>
      </c>
      <c r="M35" s="18" t="n">
        <v>4145955</v>
      </c>
      <c r="N35" s="18" t="n">
        <v>1367272.5</v>
      </c>
      <c r="O35" s="15" t="n">
        <v>2015</v>
      </c>
      <c r="P35" s="15" t="n">
        <v>1</v>
      </c>
      <c r="Q35" s="15" t="n">
        <v>16</v>
      </c>
      <c r="R35" s="15" t="inlineStr">
        <is>
          <t>Jan</t>
        </is>
      </c>
      <c r="S35" s="15" t="inlineStr">
        <is>
          <t>Q1</t>
        </is>
      </c>
      <c r="T35" s="15" t="n">
        <v>44</v>
      </c>
      <c r="U35" s="19" t="n">
        <v>0.247998563454891</v>
      </c>
      <c r="V35" s="15" t="n">
        <v>1</v>
      </c>
    </row>
    <row r="36">
      <c r="A36" s="15" t="inlineStr">
        <is>
          <t>Sub-Saharan Africa</t>
        </is>
      </c>
      <c r="B36" s="15" t="inlineStr">
        <is>
          <t>Djibouti</t>
        </is>
      </c>
      <c r="C36" s="15" t="inlineStr">
        <is>
          <t>Snacks</t>
        </is>
      </c>
      <c r="D36" s="15" t="inlineStr">
        <is>
          <t>Online</t>
        </is>
      </c>
      <c r="E36" s="15" t="inlineStr">
        <is>
          <t>M</t>
        </is>
      </c>
      <c r="F36" s="16" t="n">
        <v>42791</v>
      </c>
      <c r="G36" s="15" t="n">
        <v>756274640</v>
      </c>
      <c r="H36" s="16" t="n">
        <v>42791</v>
      </c>
      <c r="I36" s="17" t="n">
        <v>7327</v>
      </c>
      <c r="J36" s="18" t="n">
        <v>152.58</v>
      </c>
      <c r="K36" s="18" t="n">
        <v>97.44</v>
      </c>
      <c r="L36" s="18" t="n">
        <v>1117953.66</v>
      </c>
      <c r="M36" s="18" t="n">
        <v>713942.88</v>
      </c>
      <c r="N36" s="18" t="n">
        <v>404010.78</v>
      </c>
      <c r="O36" s="15" t="n">
        <v>2017</v>
      </c>
      <c r="P36" s="15" t="n">
        <v>2</v>
      </c>
      <c r="Q36" s="15" t="n">
        <v>25</v>
      </c>
      <c r="R36" s="15" t="inlineStr">
        <is>
          <t>Feb</t>
        </is>
      </c>
      <c r="S36" s="15" t="inlineStr">
        <is>
          <t>Q1</t>
        </is>
      </c>
      <c r="T36" s="15" t="n">
        <v>0</v>
      </c>
      <c r="U36" s="19" t="n">
        <v>0.3613841918993316</v>
      </c>
      <c r="V36" s="15" t="n">
        <v>1</v>
      </c>
    </row>
    <row r="37">
      <c r="A37" s="15" t="inlineStr">
        <is>
          <t>Central America and the Caribbean</t>
        </is>
      </c>
      <c r="B37" s="15" t="inlineStr">
        <is>
          <t>Costa Rica</t>
        </is>
      </c>
      <c r="C37" s="15" t="inlineStr">
        <is>
          <t>Personal Care</t>
        </is>
      </c>
      <c r="D37" s="15" t="inlineStr">
        <is>
          <t>Offline</t>
        </is>
      </c>
      <c r="E37" s="15" t="inlineStr">
        <is>
          <t>L</t>
        </is>
      </c>
      <c r="F37" s="16" t="n">
        <v>42863</v>
      </c>
      <c r="G37" s="15" t="n">
        <v>456767165</v>
      </c>
      <c r="H37" s="16" t="n">
        <v>42876</v>
      </c>
      <c r="I37" s="17" t="n">
        <v>6409</v>
      </c>
      <c r="J37" s="18" t="n">
        <v>81.73</v>
      </c>
      <c r="K37" s="18" t="n">
        <v>56.67</v>
      </c>
      <c r="L37" s="18" t="n">
        <v>523807.57</v>
      </c>
      <c r="M37" s="18" t="n">
        <v>363198.03</v>
      </c>
      <c r="N37" s="18" t="n">
        <v>160609.54</v>
      </c>
      <c r="O37" s="15" t="n">
        <v>2017</v>
      </c>
      <c r="P37" s="15" t="n">
        <v>5</v>
      </c>
      <c r="Q37" s="15" t="n">
        <v>8</v>
      </c>
      <c r="R37" s="15" t="inlineStr">
        <is>
          <t>May</t>
        </is>
      </c>
      <c r="S37" s="15" t="inlineStr">
        <is>
          <t>Q2</t>
        </is>
      </c>
      <c r="T37" s="15" t="n">
        <v>13</v>
      </c>
      <c r="U37" s="19" t="n">
        <v>0.3066193564174722</v>
      </c>
      <c r="V37" s="15" t="n">
        <v>1</v>
      </c>
    </row>
    <row r="38">
      <c r="A38" s="15" t="inlineStr">
        <is>
          <t>Middle East and North Africa</t>
        </is>
      </c>
      <c r="B38" s="15" t="inlineStr">
        <is>
          <t>Syria</t>
        </is>
      </c>
      <c r="C38" s="15" t="inlineStr">
        <is>
          <t>Fruits</t>
        </is>
      </c>
      <c r="D38" s="15" t="inlineStr">
        <is>
          <t>Online</t>
        </is>
      </c>
      <c r="E38" s="15" t="inlineStr">
        <is>
          <t>L</t>
        </is>
      </c>
      <c r="F38" s="16" t="n">
        <v>40869</v>
      </c>
      <c r="G38" s="15" t="n">
        <v>162052476</v>
      </c>
      <c r="H38" s="16" t="n">
        <v>40880</v>
      </c>
      <c r="I38" s="17" t="n">
        <v>3784</v>
      </c>
      <c r="J38" s="18" t="n">
        <v>9.33</v>
      </c>
      <c r="K38" s="18" t="n">
        <v>6.92</v>
      </c>
      <c r="L38" s="18" t="n">
        <v>35304.72</v>
      </c>
      <c r="M38" s="18" t="n">
        <v>26185.28</v>
      </c>
      <c r="N38" s="18" t="n">
        <v>9119.440000000001</v>
      </c>
      <c r="O38" s="15" t="n">
        <v>2011</v>
      </c>
      <c r="P38" s="15" t="n">
        <v>11</v>
      </c>
      <c r="Q38" s="15" t="n">
        <v>22</v>
      </c>
      <c r="R38" s="15" t="inlineStr">
        <is>
          <t>Nov</t>
        </is>
      </c>
      <c r="S38" s="15" t="inlineStr">
        <is>
          <t>Q4</t>
        </is>
      </c>
      <c r="T38" s="15" t="n">
        <v>11</v>
      </c>
      <c r="U38" s="19" t="n">
        <v>0.2583065380493033</v>
      </c>
      <c r="V38" s="15" t="n">
        <v>1</v>
      </c>
    </row>
    <row r="39">
      <c r="A39" s="15" t="inlineStr">
        <is>
          <t>Sub-Saharan Africa</t>
        </is>
      </c>
      <c r="B39" s="15" t="inlineStr">
        <is>
          <t>The Gambia</t>
        </is>
      </c>
      <c r="C39" s="15" t="inlineStr">
        <is>
          <t>Meat</t>
        </is>
      </c>
      <c r="D39" s="15" t="inlineStr">
        <is>
          <t>Online</t>
        </is>
      </c>
      <c r="E39" s="15" t="inlineStr">
        <is>
          <t>M</t>
        </is>
      </c>
      <c r="F39" s="16" t="n">
        <v>42749</v>
      </c>
      <c r="G39" s="15" t="n">
        <v>825304400</v>
      </c>
      <c r="H39" s="16" t="n">
        <v>42758</v>
      </c>
      <c r="I39" s="17" t="n">
        <v>4767</v>
      </c>
      <c r="J39" s="18" t="n">
        <v>421.89</v>
      </c>
      <c r="K39" s="18" t="n">
        <v>364.69</v>
      </c>
      <c r="L39" s="18" t="n">
        <v>2011149.63</v>
      </c>
      <c r="M39" s="18" t="n">
        <v>1738477.23</v>
      </c>
      <c r="N39" s="18" t="n">
        <v>272672.4</v>
      </c>
      <c r="O39" s="15" t="n">
        <v>2017</v>
      </c>
      <c r="P39" s="15" t="n">
        <v>1</v>
      </c>
      <c r="Q39" s="15" t="n">
        <v>14</v>
      </c>
      <c r="R39" s="15" t="inlineStr">
        <is>
          <t>Jan</t>
        </is>
      </c>
      <c r="S39" s="15" t="inlineStr">
        <is>
          <t>Q1</t>
        </is>
      </c>
      <c r="T39" s="15" t="n">
        <v>9</v>
      </c>
      <c r="U39" s="19" t="n">
        <v>0.1355803645500012</v>
      </c>
      <c r="V39" s="15" t="n">
        <v>1</v>
      </c>
    </row>
    <row r="40">
      <c r="A40" s="15" t="inlineStr">
        <is>
          <t>Asia</t>
        </is>
      </c>
      <c r="B40" s="15" t="inlineStr">
        <is>
          <t>Brunei</t>
        </is>
      </c>
      <c r="C40" s="15" t="inlineStr">
        <is>
          <t>Office Supplies</t>
        </is>
      </c>
      <c r="D40" s="15" t="inlineStr">
        <is>
          <t>Online</t>
        </is>
      </c>
      <c r="E40" s="15" t="inlineStr">
        <is>
          <t>L</t>
        </is>
      </c>
      <c r="F40" s="16" t="n">
        <v>41000</v>
      </c>
      <c r="G40" s="15" t="n">
        <v>320009267</v>
      </c>
      <c r="H40" s="16" t="n">
        <v>41037</v>
      </c>
      <c r="I40" s="17" t="n">
        <v>6708</v>
      </c>
      <c r="J40" s="18" t="n">
        <v>651.21</v>
      </c>
      <c r="K40" s="18" t="n">
        <v>524.96</v>
      </c>
      <c r="L40" s="18" t="n">
        <v>4368316.68</v>
      </c>
      <c r="M40" s="18" t="n">
        <v>3521431.68</v>
      </c>
      <c r="N40" s="18" t="n">
        <v>846885</v>
      </c>
      <c r="O40" s="15" t="n">
        <v>2012</v>
      </c>
      <c r="P40" s="15" t="n">
        <v>4</v>
      </c>
      <c r="Q40" s="15" t="n">
        <v>1</v>
      </c>
      <c r="R40" s="15" t="inlineStr">
        <is>
          <t>Apr</t>
        </is>
      </c>
      <c r="S40" s="15" t="inlineStr">
        <is>
          <t>Q2</t>
        </is>
      </c>
      <c r="T40" s="15" t="n">
        <v>37</v>
      </c>
      <c r="U40" s="19" t="n">
        <v>0.1938698730056357</v>
      </c>
      <c r="V40" s="15" t="n">
        <v>1</v>
      </c>
    </row>
    <row r="41">
      <c r="A41" s="15" t="inlineStr">
        <is>
          <t>Europe</t>
        </is>
      </c>
      <c r="B41" s="15" t="inlineStr">
        <is>
          <t>Bulgaria</t>
        </is>
      </c>
      <c r="C41" s="15" t="inlineStr">
        <is>
          <t>Office Supplies</t>
        </is>
      </c>
      <c r="D41" s="15" t="inlineStr">
        <is>
          <t>Online</t>
        </is>
      </c>
      <c r="E41" s="15" t="inlineStr">
        <is>
          <t>M</t>
        </is>
      </c>
      <c r="F41" s="16" t="n">
        <v>40955</v>
      </c>
      <c r="G41" s="15" t="n">
        <v>189965903</v>
      </c>
      <c r="H41" s="16" t="n">
        <v>40967</v>
      </c>
      <c r="I41" s="17" t="n">
        <v>3987</v>
      </c>
      <c r="J41" s="18" t="n">
        <v>651.21</v>
      </c>
      <c r="K41" s="18" t="n">
        <v>524.96</v>
      </c>
      <c r="L41" s="18" t="n">
        <v>2596374.27</v>
      </c>
      <c r="M41" s="18" t="n">
        <v>2093015.52</v>
      </c>
      <c r="N41" s="18" t="n">
        <v>503358.75</v>
      </c>
      <c r="O41" s="15" t="n">
        <v>2012</v>
      </c>
      <c r="P41" s="15" t="n">
        <v>2</v>
      </c>
      <c r="Q41" s="15" t="n">
        <v>16</v>
      </c>
      <c r="R41" s="15" t="inlineStr">
        <is>
          <t>Feb</t>
        </is>
      </c>
      <c r="S41" s="15" t="inlineStr">
        <is>
          <t>Q1</t>
        </is>
      </c>
      <c r="T41" s="15" t="n">
        <v>12</v>
      </c>
      <c r="U41" s="19" t="n">
        <v>0.1938698730056357</v>
      </c>
      <c r="V41" s="15" t="n">
        <v>1</v>
      </c>
    </row>
    <row r="42">
      <c r="A42" s="15" t="inlineStr">
        <is>
          <t>Sub-Saharan Africa</t>
        </is>
      </c>
      <c r="B42" s="15" t="inlineStr">
        <is>
          <t>Niger</t>
        </is>
      </c>
      <c r="C42" s="15" t="inlineStr">
        <is>
          <t>Personal Care</t>
        </is>
      </c>
      <c r="D42" s="15" t="inlineStr">
        <is>
          <t>Online</t>
        </is>
      </c>
      <c r="E42" s="15" t="inlineStr">
        <is>
          <t>H</t>
        </is>
      </c>
      <c r="F42" s="16" t="n">
        <v>42805</v>
      </c>
      <c r="G42" s="15" t="n">
        <v>699285638</v>
      </c>
      <c r="H42" s="16" t="n">
        <v>42822</v>
      </c>
      <c r="I42" s="17" t="n">
        <v>3015</v>
      </c>
      <c r="J42" s="18" t="n">
        <v>81.73</v>
      </c>
      <c r="K42" s="18" t="n">
        <v>56.67</v>
      </c>
      <c r="L42" s="18" t="n">
        <v>246415.95</v>
      </c>
      <c r="M42" s="18" t="n">
        <v>170860.05</v>
      </c>
      <c r="N42" s="18" t="n">
        <v>75555.89999999999</v>
      </c>
      <c r="O42" s="15" t="n">
        <v>2017</v>
      </c>
      <c r="P42" s="15" t="n">
        <v>3</v>
      </c>
      <c r="Q42" s="15" t="n">
        <v>11</v>
      </c>
      <c r="R42" s="15" t="inlineStr">
        <is>
          <t>Mar</t>
        </is>
      </c>
      <c r="S42" s="15" t="inlineStr">
        <is>
          <t>Q1</t>
        </is>
      </c>
      <c r="T42" s="15" t="n">
        <v>17</v>
      </c>
      <c r="U42" s="19" t="n">
        <v>0.3066193564174721</v>
      </c>
      <c r="V42" s="15" t="n">
        <v>1</v>
      </c>
    </row>
    <row r="43">
      <c r="A43" s="15" t="inlineStr">
        <is>
          <t>Middle East and North Africa</t>
        </is>
      </c>
      <c r="B43" s="15" t="inlineStr">
        <is>
          <t>Azerbaijan</t>
        </is>
      </c>
      <c r="C43" s="15" t="inlineStr">
        <is>
          <t>Cosmetics</t>
        </is>
      </c>
      <c r="D43" s="15" t="inlineStr">
        <is>
          <t>Online</t>
        </is>
      </c>
      <c r="E43" s="15" t="inlineStr">
        <is>
          <t>M</t>
        </is>
      </c>
      <c r="F43" s="16" t="n">
        <v>40215</v>
      </c>
      <c r="G43" s="15" t="n">
        <v>382392299</v>
      </c>
      <c r="H43" s="16" t="n">
        <v>40234</v>
      </c>
      <c r="I43" s="17" t="n">
        <v>7234</v>
      </c>
      <c r="J43" s="18" t="n">
        <v>437.2</v>
      </c>
      <c r="K43" s="18" t="n">
        <v>263.33</v>
      </c>
      <c r="L43" s="18" t="n">
        <v>3162704.8</v>
      </c>
      <c r="M43" s="18" t="n">
        <v>1904929.22</v>
      </c>
      <c r="N43" s="18" t="n">
        <v>1257775.58</v>
      </c>
      <c r="O43" s="15" t="n">
        <v>2010</v>
      </c>
      <c r="P43" s="15" t="n">
        <v>2</v>
      </c>
      <c r="Q43" s="15" t="n">
        <v>6</v>
      </c>
      <c r="R43" s="15" t="inlineStr">
        <is>
          <t>Feb</t>
        </is>
      </c>
      <c r="S43" s="15" t="inlineStr">
        <is>
          <t>Q1</t>
        </is>
      </c>
      <c r="T43" s="15" t="n">
        <v>19</v>
      </c>
      <c r="U43" s="19" t="n">
        <v>0.3976898444647759</v>
      </c>
      <c r="V43" s="15" t="n">
        <v>1</v>
      </c>
    </row>
    <row r="44">
      <c r="A44" s="15" t="inlineStr">
        <is>
          <t>Sub-Saharan Africa</t>
        </is>
      </c>
      <c r="B44" s="15" t="inlineStr">
        <is>
          <t>The Gambia</t>
        </is>
      </c>
      <c r="C44" s="15" t="inlineStr">
        <is>
          <t>Cereal</t>
        </is>
      </c>
      <c r="D44" s="15" t="inlineStr">
        <is>
          <t>Offline</t>
        </is>
      </c>
      <c r="E44" s="15" t="inlineStr">
        <is>
          <t>H</t>
        </is>
      </c>
      <c r="F44" s="16" t="n">
        <v>41067</v>
      </c>
      <c r="G44" s="15" t="n">
        <v>994022214</v>
      </c>
      <c r="H44" s="16" t="n">
        <v>41068</v>
      </c>
      <c r="I44" s="17" t="n">
        <v>2117</v>
      </c>
      <c r="J44" s="18" t="n">
        <v>205.7</v>
      </c>
      <c r="K44" s="18" t="n">
        <v>117.11</v>
      </c>
      <c r="L44" s="18" t="n">
        <v>435466.9</v>
      </c>
      <c r="M44" s="18" t="n">
        <v>247921.87</v>
      </c>
      <c r="N44" s="18" t="n">
        <v>187545.03</v>
      </c>
      <c r="O44" s="15" t="n">
        <v>2012</v>
      </c>
      <c r="P44" s="15" t="n">
        <v>6</v>
      </c>
      <c r="Q44" s="15" t="n">
        <v>7</v>
      </c>
      <c r="R44" s="15" t="inlineStr">
        <is>
          <t>Jun</t>
        </is>
      </c>
      <c r="S44" s="15" t="inlineStr">
        <is>
          <t>Q2</t>
        </is>
      </c>
      <c r="T44" s="15" t="n">
        <v>1</v>
      </c>
      <c r="U44" s="19" t="n">
        <v>0.4306757413709285</v>
      </c>
      <c r="V44" s="15" t="n">
        <v>1</v>
      </c>
    </row>
    <row r="45">
      <c r="A45" s="15" t="inlineStr">
        <is>
          <t>Europe</t>
        </is>
      </c>
      <c r="B45" s="15" t="inlineStr">
        <is>
          <t>Slovakia</t>
        </is>
      </c>
      <c r="C45" s="15" t="inlineStr">
        <is>
          <t>Vegetables</t>
        </is>
      </c>
      <c r="D45" s="15" t="inlineStr">
        <is>
          <t>Online</t>
        </is>
      </c>
      <c r="E45" s="15" t="inlineStr">
        <is>
          <t>H</t>
        </is>
      </c>
      <c r="F45" s="16" t="n">
        <v>41188</v>
      </c>
      <c r="G45" s="15" t="n">
        <v>759224212</v>
      </c>
      <c r="H45" s="16" t="n">
        <v>41223</v>
      </c>
      <c r="I45" s="17" t="n">
        <v>171</v>
      </c>
      <c r="J45" s="18" t="n">
        <v>154.06</v>
      </c>
      <c r="K45" s="18" t="n">
        <v>90.93000000000001</v>
      </c>
      <c r="L45" s="18" t="n">
        <v>26344.26</v>
      </c>
      <c r="M45" s="18" t="n">
        <v>15549.03</v>
      </c>
      <c r="N45" s="18" t="n">
        <v>10795.23</v>
      </c>
      <c r="O45" s="15" t="n">
        <v>2012</v>
      </c>
      <c r="P45" s="15" t="n">
        <v>10</v>
      </c>
      <c r="Q45" s="15" t="n">
        <v>6</v>
      </c>
      <c r="R45" s="15" t="inlineStr">
        <is>
          <t>Oct</t>
        </is>
      </c>
      <c r="S45" s="15" t="inlineStr">
        <is>
          <t>Q4</t>
        </is>
      </c>
      <c r="T45" s="15" t="n">
        <v>35</v>
      </c>
      <c r="U45" s="19" t="n">
        <v>0.4097754121770739</v>
      </c>
      <c r="V45" s="15" t="n">
        <v>1</v>
      </c>
    </row>
    <row r="46">
      <c r="A46" s="15" t="inlineStr">
        <is>
          <t>Asia</t>
        </is>
      </c>
      <c r="B46" s="15" t="inlineStr">
        <is>
          <t>Myanmar</t>
        </is>
      </c>
      <c r="C46" s="15" t="inlineStr">
        <is>
          <t>Clothes</t>
        </is>
      </c>
      <c r="D46" s="15" t="inlineStr">
        <is>
          <t>Online</t>
        </is>
      </c>
      <c r="E46" s="15" t="inlineStr">
        <is>
          <t>H</t>
        </is>
      </c>
      <c r="F46" s="16" t="n">
        <v>42322</v>
      </c>
      <c r="G46" s="15" t="n">
        <v>223359620</v>
      </c>
      <c r="H46" s="16" t="n">
        <v>42326</v>
      </c>
      <c r="I46" s="17" t="n">
        <v>5930</v>
      </c>
      <c r="J46" s="18" t="n">
        <v>109.28</v>
      </c>
      <c r="K46" s="18" t="n">
        <v>35.84</v>
      </c>
      <c r="L46" s="18" t="n">
        <v>648030.4</v>
      </c>
      <c r="M46" s="18" t="n">
        <v>212531.2</v>
      </c>
      <c r="N46" s="18" t="n">
        <v>435499.2</v>
      </c>
      <c r="O46" s="15" t="n">
        <v>2015</v>
      </c>
      <c r="P46" s="15" t="n">
        <v>11</v>
      </c>
      <c r="Q46" s="15" t="n">
        <v>14</v>
      </c>
      <c r="R46" s="15" t="inlineStr">
        <is>
          <t>Nov</t>
        </is>
      </c>
      <c r="S46" s="15" t="inlineStr">
        <is>
          <t>Q4</t>
        </is>
      </c>
      <c r="T46" s="15" t="n">
        <v>4</v>
      </c>
      <c r="U46" s="19" t="n">
        <v>0.6720351390922401</v>
      </c>
      <c r="V46" s="15" t="n">
        <v>1</v>
      </c>
    </row>
    <row r="47">
      <c r="A47" s="15" t="inlineStr">
        <is>
          <t>Sub-Saharan Africa</t>
        </is>
      </c>
      <c r="B47" s="15" t="inlineStr">
        <is>
          <t>Comoros</t>
        </is>
      </c>
      <c r="C47" s="15" t="inlineStr">
        <is>
          <t>Cereal</t>
        </is>
      </c>
      <c r="D47" s="15" t="inlineStr">
        <is>
          <t>Offline</t>
        </is>
      </c>
      <c r="E47" s="15" t="inlineStr">
        <is>
          <t>H</t>
        </is>
      </c>
      <c r="F47" s="16" t="n">
        <v>42458</v>
      </c>
      <c r="G47" s="15" t="n">
        <v>902102267</v>
      </c>
      <c r="H47" s="16" t="n">
        <v>42489</v>
      </c>
      <c r="I47" s="17" t="n">
        <v>962</v>
      </c>
      <c r="J47" s="18" t="n">
        <v>205.7</v>
      </c>
      <c r="K47" s="18" t="n">
        <v>117.11</v>
      </c>
      <c r="L47" s="18" t="n">
        <v>197883.4</v>
      </c>
      <c r="M47" s="18" t="n">
        <v>112659.82</v>
      </c>
      <c r="N47" s="18" t="n">
        <v>85223.58</v>
      </c>
      <c r="O47" s="15" t="n">
        <v>2016</v>
      </c>
      <c r="P47" s="15" t="n">
        <v>3</v>
      </c>
      <c r="Q47" s="15" t="n">
        <v>29</v>
      </c>
      <c r="R47" s="15" t="inlineStr">
        <is>
          <t>Mar</t>
        </is>
      </c>
      <c r="S47" s="15" t="inlineStr">
        <is>
          <t>Q1</t>
        </is>
      </c>
      <c r="T47" s="15" t="n">
        <v>31</v>
      </c>
      <c r="U47" s="19" t="n">
        <v>0.4306757413709286</v>
      </c>
      <c r="V47" s="15" t="n">
        <v>1</v>
      </c>
    </row>
    <row r="48">
      <c r="A48" s="15" t="inlineStr">
        <is>
          <t>Europe</t>
        </is>
      </c>
      <c r="B48" s="15" t="inlineStr">
        <is>
          <t>Iceland</t>
        </is>
      </c>
      <c r="C48" s="15" t="inlineStr">
        <is>
          <t>Cosmetics</t>
        </is>
      </c>
      <c r="D48" s="15" t="inlineStr">
        <is>
          <t>Online</t>
        </is>
      </c>
      <c r="E48" s="15" t="inlineStr">
        <is>
          <t>C</t>
        </is>
      </c>
      <c r="F48" s="16" t="n">
        <v>42735</v>
      </c>
      <c r="G48" s="15" t="n">
        <v>331438481</v>
      </c>
      <c r="H48" s="16" t="n">
        <v>42735</v>
      </c>
      <c r="I48" s="17" t="n">
        <v>8867</v>
      </c>
      <c r="J48" s="18" t="n">
        <v>437.2</v>
      </c>
      <c r="K48" s="18" t="n">
        <v>263.33</v>
      </c>
      <c r="L48" s="18" t="n">
        <v>3876652.4</v>
      </c>
      <c r="M48" s="18" t="n">
        <v>2334947.11</v>
      </c>
      <c r="N48" s="18" t="n">
        <v>1541705.29</v>
      </c>
      <c r="O48" s="15" t="n">
        <v>2016</v>
      </c>
      <c r="P48" s="15" t="n">
        <v>12</v>
      </c>
      <c r="Q48" s="15" t="n">
        <v>31</v>
      </c>
      <c r="R48" s="15" t="inlineStr">
        <is>
          <t>Dec</t>
        </is>
      </c>
      <c r="S48" s="15" t="inlineStr">
        <is>
          <t>Q4</t>
        </is>
      </c>
      <c r="T48" s="15" t="n">
        <v>0</v>
      </c>
      <c r="U48" s="19" t="n">
        <v>0.3976898444647758</v>
      </c>
      <c r="V48" s="15" t="n">
        <v>1</v>
      </c>
    </row>
    <row r="49">
      <c r="A49" s="15" t="inlineStr">
        <is>
          <t>Europe</t>
        </is>
      </c>
      <c r="B49" s="15" t="inlineStr">
        <is>
          <t>Switzerland</t>
        </is>
      </c>
      <c r="C49" s="15" t="inlineStr">
        <is>
          <t>Personal Care</t>
        </is>
      </c>
      <c r="D49" s="15" t="inlineStr">
        <is>
          <t>Online</t>
        </is>
      </c>
      <c r="E49" s="15" t="inlineStr">
        <is>
          <t>M</t>
        </is>
      </c>
      <c r="F49" s="16" t="n">
        <v>40535</v>
      </c>
      <c r="G49" s="15" t="n">
        <v>617667090</v>
      </c>
      <c r="H49" s="16" t="n">
        <v>40574</v>
      </c>
      <c r="I49" s="17" t="n">
        <v>273</v>
      </c>
      <c r="J49" s="18" t="n">
        <v>81.73</v>
      </c>
      <c r="K49" s="18" t="n">
        <v>56.67</v>
      </c>
      <c r="L49" s="18" t="n">
        <v>22312.29</v>
      </c>
      <c r="M49" s="18" t="n">
        <v>15470.91</v>
      </c>
      <c r="N49" s="18" t="n">
        <v>6841.38</v>
      </c>
      <c r="O49" s="15" t="n">
        <v>2010</v>
      </c>
      <c r="P49" s="15" t="n">
        <v>12</v>
      </c>
      <c r="Q49" s="15" t="n">
        <v>23</v>
      </c>
      <c r="R49" s="15" t="inlineStr">
        <is>
          <t>Dec</t>
        </is>
      </c>
      <c r="S49" s="15" t="inlineStr">
        <is>
          <t>Q4</t>
        </is>
      </c>
      <c r="T49" s="15" t="n">
        <v>39</v>
      </c>
      <c r="U49" s="19" t="n">
        <v>0.3066193564174722</v>
      </c>
      <c r="V49" s="15" t="n">
        <v>1</v>
      </c>
    </row>
    <row r="50">
      <c r="A50" s="15" t="inlineStr">
        <is>
          <t>Europe</t>
        </is>
      </c>
      <c r="B50" s="15" t="inlineStr">
        <is>
          <t>Macedonia</t>
        </is>
      </c>
      <c r="C50" s="15" t="inlineStr">
        <is>
          <t>Clothes</t>
        </is>
      </c>
      <c r="D50" s="15" t="inlineStr">
        <is>
          <t>Offline</t>
        </is>
      </c>
      <c r="E50" s="15" t="inlineStr">
        <is>
          <t>C</t>
        </is>
      </c>
      <c r="F50" s="16" t="n">
        <v>41926</v>
      </c>
      <c r="G50" s="15" t="n">
        <v>787399423</v>
      </c>
      <c r="H50" s="16" t="n">
        <v>41957</v>
      </c>
      <c r="I50" s="17" t="n">
        <v>7842</v>
      </c>
      <c r="J50" s="18" t="n">
        <v>109.28</v>
      </c>
      <c r="K50" s="18" t="n">
        <v>35.84</v>
      </c>
      <c r="L50" s="18" t="n">
        <v>856973.76</v>
      </c>
      <c r="M50" s="18" t="n">
        <v>281057.28</v>
      </c>
      <c r="N50" s="18" t="n">
        <v>575916.48</v>
      </c>
      <c r="O50" s="15" t="n">
        <v>2014</v>
      </c>
      <c r="P50" s="15" t="n">
        <v>10</v>
      </c>
      <c r="Q50" s="15" t="n">
        <v>14</v>
      </c>
      <c r="R50" s="15" t="inlineStr">
        <is>
          <t>Oct</t>
        </is>
      </c>
      <c r="S50" s="15" t="inlineStr">
        <is>
          <t>Q4</t>
        </is>
      </c>
      <c r="T50" s="15" t="n">
        <v>31</v>
      </c>
      <c r="U50" s="19" t="n">
        <v>0.6720351390922401</v>
      </c>
      <c r="V50" s="15" t="n">
        <v>1</v>
      </c>
    </row>
    <row r="51">
      <c r="A51" s="15" t="inlineStr">
        <is>
          <t>Sub-Saharan Africa</t>
        </is>
      </c>
      <c r="B51" s="15" t="inlineStr">
        <is>
          <t>Mauritania</t>
        </is>
      </c>
      <c r="C51" s="15" t="inlineStr">
        <is>
          <t>Office Supplies</t>
        </is>
      </c>
      <c r="D51" s="15" t="inlineStr">
        <is>
          <t>Offline</t>
        </is>
      </c>
      <c r="E51" s="15" t="inlineStr">
        <is>
          <t>C</t>
        </is>
      </c>
      <c r="F51" s="16" t="n">
        <v>40919</v>
      </c>
      <c r="G51" s="15" t="n">
        <v>837559306</v>
      </c>
      <c r="H51" s="16" t="n">
        <v>40921</v>
      </c>
      <c r="I51" s="17" t="n">
        <v>1266</v>
      </c>
      <c r="J51" s="18" t="n">
        <v>651.21</v>
      </c>
      <c r="K51" s="18" t="n">
        <v>524.96</v>
      </c>
      <c r="L51" s="18" t="n">
        <v>824431.86</v>
      </c>
      <c r="M51" s="18" t="n">
        <v>664599.36</v>
      </c>
      <c r="N51" s="18" t="n">
        <v>159832.5</v>
      </c>
      <c r="O51" s="15" t="n">
        <v>2012</v>
      </c>
      <c r="P51" s="15" t="n">
        <v>1</v>
      </c>
      <c r="Q51" s="15" t="n">
        <v>11</v>
      </c>
      <c r="R51" s="15" t="inlineStr">
        <is>
          <t>Jan</t>
        </is>
      </c>
      <c r="S51" s="15" t="inlineStr">
        <is>
          <t>Q1</t>
        </is>
      </c>
      <c r="T51" s="15" t="n">
        <v>2</v>
      </c>
      <c r="U51" s="19" t="n">
        <v>0.1938698730056357</v>
      </c>
      <c r="V51" s="15" t="n">
        <v>1</v>
      </c>
    </row>
    <row r="52">
      <c r="A52" s="15" t="inlineStr">
        <is>
          <t>Europe</t>
        </is>
      </c>
      <c r="B52" s="15" t="inlineStr">
        <is>
          <t>Albania</t>
        </is>
      </c>
      <c r="C52" s="15" t="inlineStr">
        <is>
          <t>Clothes</t>
        </is>
      </c>
      <c r="D52" s="15" t="inlineStr">
        <is>
          <t>Online</t>
        </is>
      </c>
      <c r="E52" s="15" t="inlineStr">
        <is>
          <t>C</t>
        </is>
      </c>
      <c r="F52" s="16" t="n">
        <v>40211</v>
      </c>
      <c r="G52" s="15" t="n">
        <v>385383069</v>
      </c>
      <c r="H52" s="16" t="n">
        <v>40255</v>
      </c>
      <c r="I52" s="17" t="n">
        <v>2269</v>
      </c>
      <c r="J52" s="18" t="n">
        <v>109.28</v>
      </c>
      <c r="K52" s="18" t="n">
        <v>35.84</v>
      </c>
      <c r="L52" s="18" t="n">
        <v>247956.32</v>
      </c>
      <c r="M52" s="18" t="n">
        <v>81320.96000000001</v>
      </c>
      <c r="N52" s="18" t="n">
        <v>166635.36</v>
      </c>
      <c r="O52" s="15" t="n">
        <v>2010</v>
      </c>
      <c r="P52" s="15" t="n">
        <v>2</v>
      </c>
      <c r="Q52" s="15" t="n">
        <v>2</v>
      </c>
      <c r="R52" s="15" t="inlineStr">
        <is>
          <t>Feb</t>
        </is>
      </c>
      <c r="S52" s="15" t="inlineStr">
        <is>
          <t>Q1</t>
        </is>
      </c>
      <c r="T52" s="15" t="n">
        <v>44</v>
      </c>
      <c r="U52" s="19" t="n">
        <v>0.67203513909224</v>
      </c>
      <c r="V52" s="15" t="n">
        <v>1</v>
      </c>
    </row>
    <row r="53">
      <c r="A53" s="15" t="inlineStr">
        <is>
          <t>Sub-Saharan Africa</t>
        </is>
      </c>
      <c r="B53" s="15" t="inlineStr">
        <is>
          <t>Lesotho</t>
        </is>
      </c>
      <c r="C53" s="15" t="inlineStr">
        <is>
          <t>Fruits</t>
        </is>
      </c>
      <c r="D53" s="15" t="inlineStr">
        <is>
          <t>Online</t>
        </is>
      </c>
      <c r="E53" s="15" t="inlineStr">
        <is>
          <t>L</t>
        </is>
      </c>
      <c r="F53" s="16" t="n">
        <v>41504</v>
      </c>
      <c r="G53" s="15" t="n">
        <v>918419539</v>
      </c>
      <c r="H53" s="16" t="n">
        <v>41535</v>
      </c>
      <c r="I53" s="17" t="n">
        <v>9606</v>
      </c>
      <c r="J53" s="18" t="n">
        <v>9.33</v>
      </c>
      <c r="K53" s="18" t="n">
        <v>6.92</v>
      </c>
      <c r="L53" s="18" t="n">
        <v>89623.98</v>
      </c>
      <c r="M53" s="18" t="n">
        <v>66473.52</v>
      </c>
      <c r="N53" s="18" t="n">
        <v>23150.46</v>
      </c>
      <c r="O53" s="15" t="n">
        <v>2013</v>
      </c>
      <c r="P53" s="15" t="n">
        <v>8</v>
      </c>
      <c r="Q53" s="15" t="n">
        <v>18</v>
      </c>
      <c r="R53" s="15" t="inlineStr">
        <is>
          <t>Aug</t>
        </is>
      </c>
      <c r="S53" s="15" t="inlineStr">
        <is>
          <t>Q3</t>
        </is>
      </c>
      <c r="T53" s="15" t="n">
        <v>31</v>
      </c>
      <c r="U53" s="19" t="n">
        <v>0.2583065380493033</v>
      </c>
      <c r="V53" s="15" t="n">
        <v>1</v>
      </c>
    </row>
    <row r="54">
      <c r="A54" s="15" t="inlineStr">
        <is>
          <t>Middle East and North Africa</t>
        </is>
      </c>
      <c r="B54" s="15" t="inlineStr">
        <is>
          <t>Saudi Arabia</t>
        </is>
      </c>
      <c r="C54" s="15" t="inlineStr">
        <is>
          <t>Cereal</t>
        </is>
      </c>
      <c r="D54" s="15" t="inlineStr">
        <is>
          <t>Online</t>
        </is>
      </c>
      <c r="E54" s="15" t="inlineStr">
        <is>
          <t>M</t>
        </is>
      </c>
      <c r="F54" s="16" t="n">
        <v>41358</v>
      </c>
      <c r="G54" s="15" t="n">
        <v>844530045</v>
      </c>
      <c r="H54" s="16" t="n">
        <v>41361</v>
      </c>
      <c r="I54" s="17" t="n">
        <v>4063</v>
      </c>
      <c r="J54" s="18" t="n">
        <v>205.7</v>
      </c>
      <c r="K54" s="18" t="n">
        <v>117.11</v>
      </c>
      <c r="L54" s="18" t="n">
        <v>835759.1</v>
      </c>
      <c r="M54" s="18" t="n">
        <v>475817.93</v>
      </c>
      <c r="N54" s="18" t="n">
        <v>359941.17</v>
      </c>
      <c r="O54" s="15" t="n">
        <v>2013</v>
      </c>
      <c r="P54" s="15" t="n">
        <v>3</v>
      </c>
      <c r="Q54" s="15" t="n">
        <v>25</v>
      </c>
      <c r="R54" s="15" t="inlineStr">
        <is>
          <t>Mar</t>
        </is>
      </c>
      <c r="S54" s="15" t="inlineStr">
        <is>
          <t>Q1</t>
        </is>
      </c>
      <c r="T54" s="15" t="n">
        <v>3</v>
      </c>
      <c r="U54" s="19" t="n">
        <v>0.4306757413709285</v>
      </c>
      <c r="V54" s="15" t="n">
        <v>1</v>
      </c>
    </row>
    <row r="55">
      <c r="A55" s="15" t="inlineStr">
        <is>
          <t>Sub-Saharan Africa</t>
        </is>
      </c>
      <c r="B55" s="15" t="inlineStr">
        <is>
          <t>Sierra Leone</t>
        </is>
      </c>
      <c r="C55" s="15" t="inlineStr">
        <is>
          <t>Office Supplies</t>
        </is>
      </c>
      <c r="D55" s="15" t="inlineStr">
        <is>
          <t>Offline</t>
        </is>
      </c>
      <c r="E55" s="15" t="inlineStr">
        <is>
          <t>M</t>
        </is>
      </c>
      <c r="F55" s="16" t="n">
        <v>40873</v>
      </c>
      <c r="G55" s="15" t="n">
        <v>441888415</v>
      </c>
      <c r="H55" s="16" t="n">
        <v>40915</v>
      </c>
      <c r="I55" s="17" t="n">
        <v>3457</v>
      </c>
      <c r="J55" s="18" t="n">
        <v>651.21</v>
      </c>
      <c r="K55" s="18" t="n">
        <v>524.96</v>
      </c>
      <c r="L55" s="18" t="n">
        <v>2251232.97</v>
      </c>
      <c r="M55" s="18" t="n">
        <v>1814786.72</v>
      </c>
      <c r="N55" s="18" t="n">
        <v>436446.25</v>
      </c>
      <c r="O55" s="15" t="n">
        <v>2011</v>
      </c>
      <c r="P55" s="15" t="n">
        <v>11</v>
      </c>
      <c r="Q55" s="15" t="n">
        <v>26</v>
      </c>
      <c r="R55" s="15" t="inlineStr">
        <is>
          <t>Nov</t>
        </is>
      </c>
      <c r="S55" s="15" t="inlineStr">
        <is>
          <t>Q4</t>
        </is>
      </c>
      <c r="T55" s="15" t="n">
        <v>42</v>
      </c>
      <c r="U55" s="19" t="n">
        <v>0.1938698730056357</v>
      </c>
      <c r="V55" s="15" t="n">
        <v>1</v>
      </c>
    </row>
    <row r="56">
      <c r="A56" s="15" t="inlineStr">
        <is>
          <t>Sub-Saharan Africa</t>
        </is>
      </c>
      <c r="B56" s="15" t="inlineStr">
        <is>
          <t>Sao Tome and Principe</t>
        </is>
      </c>
      <c r="C56" s="15" t="inlineStr">
        <is>
          <t>Fruits</t>
        </is>
      </c>
      <c r="D56" s="15" t="inlineStr">
        <is>
          <t>Offline</t>
        </is>
      </c>
      <c r="E56" s="15" t="inlineStr">
        <is>
          <t>H</t>
        </is>
      </c>
      <c r="F56" s="16" t="n">
        <v>41534</v>
      </c>
      <c r="G56" s="15" t="n">
        <v>508980977</v>
      </c>
      <c r="H56" s="16" t="n">
        <v>41571</v>
      </c>
      <c r="I56" s="17" t="n">
        <v>7637</v>
      </c>
      <c r="J56" s="18" t="n">
        <v>9.33</v>
      </c>
      <c r="K56" s="18" t="n">
        <v>6.92</v>
      </c>
      <c r="L56" s="18" t="n">
        <v>71253.21000000001</v>
      </c>
      <c r="M56" s="18" t="n">
        <v>52848.04</v>
      </c>
      <c r="N56" s="18" t="n">
        <v>18405.17</v>
      </c>
      <c r="O56" s="15" t="n">
        <v>2013</v>
      </c>
      <c r="P56" s="15" t="n">
        <v>9</v>
      </c>
      <c r="Q56" s="15" t="n">
        <v>17</v>
      </c>
      <c r="R56" s="15" t="inlineStr">
        <is>
          <t>Sep</t>
        </is>
      </c>
      <c r="S56" s="15" t="inlineStr">
        <is>
          <t>Q3</t>
        </is>
      </c>
      <c r="T56" s="15" t="n">
        <v>37</v>
      </c>
      <c r="U56" s="19" t="n">
        <v>0.2583065380493033</v>
      </c>
      <c r="V56" s="15" t="n">
        <v>1</v>
      </c>
    </row>
    <row r="57">
      <c r="A57" s="15" t="inlineStr">
        <is>
          <t>Sub-Saharan Africa</t>
        </is>
      </c>
      <c r="B57" s="15" t="inlineStr">
        <is>
          <t>Cote d'Ivoire</t>
        </is>
      </c>
      <c r="C57" s="15" t="inlineStr">
        <is>
          <t>Clothes</t>
        </is>
      </c>
      <c r="D57" s="15" t="inlineStr">
        <is>
          <t>Online</t>
        </is>
      </c>
      <c r="E57" s="15" t="inlineStr">
        <is>
          <t>C</t>
        </is>
      </c>
      <c r="F57" s="16" t="n">
        <v>41068</v>
      </c>
      <c r="G57" s="15" t="n">
        <v>114606559</v>
      </c>
      <c r="H57" s="16" t="n">
        <v>41087</v>
      </c>
      <c r="I57" s="17" t="n">
        <v>3482</v>
      </c>
      <c r="J57" s="18" t="n">
        <v>109.28</v>
      </c>
      <c r="K57" s="18" t="n">
        <v>35.84</v>
      </c>
      <c r="L57" s="18" t="n">
        <v>380512.96</v>
      </c>
      <c r="M57" s="18" t="n">
        <v>124794.88</v>
      </c>
      <c r="N57" s="18" t="n">
        <v>255718.08</v>
      </c>
      <c r="O57" s="15" t="n">
        <v>2012</v>
      </c>
      <c r="P57" s="15" t="n">
        <v>6</v>
      </c>
      <c r="Q57" s="15" t="n">
        <v>8</v>
      </c>
      <c r="R57" s="15" t="inlineStr">
        <is>
          <t>Jun</t>
        </is>
      </c>
      <c r="S57" s="15" t="inlineStr">
        <is>
          <t>Q2</t>
        </is>
      </c>
      <c r="T57" s="15" t="n">
        <v>19</v>
      </c>
      <c r="U57" s="19" t="n">
        <v>0.67203513909224</v>
      </c>
      <c r="V57" s="15" t="n">
        <v>1</v>
      </c>
    </row>
    <row r="58">
      <c r="A58" s="15" t="inlineStr">
        <is>
          <t>Australia and Oceania</t>
        </is>
      </c>
      <c r="B58" s="15" t="inlineStr">
        <is>
          <t>Fiji</t>
        </is>
      </c>
      <c r="C58" s="15" t="inlineStr">
        <is>
          <t>Clothes</t>
        </is>
      </c>
      <c r="D58" s="15" t="inlineStr">
        <is>
          <t>Offline</t>
        </is>
      </c>
      <c r="E58" s="15" t="inlineStr">
        <is>
          <t>C</t>
        </is>
      </c>
      <c r="F58" s="16" t="n">
        <v>40359</v>
      </c>
      <c r="G58" s="15" t="n">
        <v>647876489</v>
      </c>
      <c r="H58" s="16" t="n">
        <v>40391</v>
      </c>
      <c r="I58" s="17" t="n">
        <v>9905</v>
      </c>
      <c r="J58" s="18" t="n">
        <v>109.28</v>
      </c>
      <c r="K58" s="18" t="n">
        <v>35.84</v>
      </c>
      <c r="L58" s="18" t="n">
        <v>1082418.4</v>
      </c>
      <c r="M58" s="18" t="n">
        <v>354995.2</v>
      </c>
      <c r="N58" s="18" t="n">
        <v>727423.2</v>
      </c>
      <c r="O58" s="15" t="n">
        <v>2010</v>
      </c>
      <c r="P58" s="15" t="n">
        <v>6</v>
      </c>
      <c r="Q58" s="15" t="n">
        <v>30</v>
      </c>
      <c r="R58" s="15" t="inlineStr">
        <is>
          <t>Jun</t>
        </is>
      </c>
      <c r="S58" s="15" t="inlineStr">
        <is>
          <t>Q2</t>
        </is>
      </c>
      <c r="T58" s="15" t="n">
        <v>32</v>
      </c>
      <c r="U58" s="19" t="n">
        <v>0.6720351390922401</v>
      </c>
      <c r="V58" s="15" t="n">
        <v>1</v>
      </c>
    </row>
    <row r="59">
      <c r="A59" s="15" t="inlineStr">
        <is>
          <t>Europe</t>
        </is>
      </c>
      <c r="B59" s="15" t="inlineStr">
        <is>
          <t>Austria</t>
        </is>
      </c>
      <c r="C59" s="15" t="inlineStr">
        <is>
          <t>Cosmetics</t>
        </is>
      </c>
      <c r="D59" s="15" t="inlineStr">
        <is>
          <t>Offline</t>
        </is>
      </c>
      <c r="E59" s="15" t="inlineStr">
        <is>
          <t>H</t>
        </is>
      </c>
      <c r="F59" s="16" t="n">
        <v>42058</v>
      </c>
      <c r="G59" s="15" t="n">
        <v>868214595</v>
      </c>
      <c r="H59" s="16" t="n">
        <v>42065</v>
      </c>
      <c r="I59" s="17" t="n">
        <v>2847</v>
      </c>
      <c r="J59" s="18" t="n">
        <v>437.2</v>
      </c>
      <c r="K59" s="18" t="n">
        <v>263.33</v>
      </c>
      <c r="L59" s="18" t="n">
        <v>1244708.4</v>
      </c>
      <c r="M59" s="18" t="n">
        <v>749700.51</v>
      </c>
      <c r="N59" s="18" t="n">
        <v>495007.89</v>
      </c>
      <c r="O59" s="15" t="n">
        <v>2015</v>
      </c>
      <c r="P59" s="15" t="n">
        <v>2</v>
      </c>
      <c r="Q59" s="15" t="n">
        <v>23</v>
      </c>
      <c r="R59" s="15" t="inlineStr">
        <is>
          <t>Feb</t>
        </is>
      </c>
      <c r="S59" s="15" t="inlineStr">
        <is>
          <t>Q1</t>
        </is>
      </c>
      <c r="T59" s="15" t="n">
        <v>7</v>
      </c>
      <c r="U59" s="19" t="n">
        <v>0.3976898444647759</v>
      </c>
      <c r="V59" s="15" t="n">
        <v>1</v>
      </c>
    </row>
    <row r="60">
      <c r="A60" s="15" t="inlineStr">
        <is>
          <t>Europe</t>
        </is>
      </c>
      <c r="B60" s="15" t="inlineStr">
        <is>
          <t>United Kingdom</t>
        </is>
      </c>
      <c r="C60" s="15" t="inlineStr">
        <is>
          <t>Household</t>
        </is>
      </c>
      <c r="D60" s="15" t="inlineStr">
        <is>
          <t>Online</t>
        </is>
      </c>
      <c r="E60" s="15" t="inlineStr">
        <is>
          <t>L</t>
        </is>
      </c>
      <c r="F60" s="16" t="n">
        <v>40913</v>
      </c>
      <c r="G60" s="15" t="n">
        <v>955357205</v>
      </c>
      <c r="H60" s="16" t="n">
        <v>40953</v>
      </c>
      <c r="I60" s="17" t="n">
        <v>282</v>
      </c>
      <c r="J60" s="18" t="n">
        <v>668.27</v>
      </c>
      <c r="K60" s="18" t="n">
        <v>502.54</v>
      </c>
      <c r="L60" s="18" t="n">
        <v>188452.14</v>
      </c>
      <c r="M60" s="18" t="n">
        <v>141716.28</v>
      </c>
      <c r="N60" s="18" t="n">
        <v>46735.86</v>
      </c>
      <c r="O60" s="15" t="n">
        <v>2012</v>
      </c>
      <c r="P60" s="15" t="n">
        <v>1</v>
      </c>
      <c r="Q60" s="15" t="n">
        <v>5</v>
      </c>
      <c r="R60" s="15" t="inlineStr">
        <is>
          <t>Jan</t>
        </is>
      </c>
      <c r="S60" s="15" t="inlineStr">
        <is>
          <t>Q1</t>
        </is>
      </c>
      <c r="T60" s="15" t="n">
        <v>40</v>
      </c>
      <c r="U60" s="19" t="n">
        <v>0.247998563454891</v>
      </c>
      <c r="V60" s="15" t="n">
        <v>1</v>
      </c>
    </row>
    <row r="61">
      <c r="A61" s="15" t="inlineStr">
        <is>
          <t>Sub-Saharan Africa</t>
        </is>
      </c>
      <c r="B61" s="15" t="inlineStr">
        <is>
          <t>Djibouti</t>
        </is>
      </c>
      <c r="C61" s="15" t="inlineStr">
        <is>
          <t>Cosmetics</t>
        </is>
      </c>
      <c r="D61" s="15" t="inlineStr">
        <is>
          <t>Offline</t>
        </is>
      </c>
      <c r="E61" s="15" t="inlineStr">
        <is>
          <t>H</t>
        </is>
      </c>
      <c r="F61" s="16" t="n">
        <v>41736</v>
      </c>
      <c r="G61" s="15" t="n">
        <v>259353148</v>
      </c>
      <c r="H61" s="16" t="n">
        <v>41748</v>
      </c>
      <c r="I61" s="17" t="n">
        <v>7215</v>
      </c>
      <c r="J61" s="18" t="n">
        <v>437.2</v>
      </c>
      <c r="K61" s="18" t="n">
        <v>263.33</v>
      </c>
      <c r="L61" s="18" t="n">
        <v>3154398</v>
      </c>
      <c r="M61" s="18" t="n">
        <v>1899925.95</v>
      </c>
      <c r="N61" s="18" t="n">
        <v>1254472.05</v>
      </c>
      <c r="O61" s="15" t="n">
        <v>2014</v>
      </c>
      <c r="P61" s="15" t="n">
        <v>4</v>
      </c>
      <c r="Q61" s="15" t="n">
        <v>7</v>
      </c>
      <c r="R61" s="15" t="inlineStr">
        <is>
          <t>Apr</t>
        </is>
      </c>
      <c r="S61" s="15" t="inlineStr">
        <is>
          <t>Q2</t>
        </is>
      </c>
      <c r="T61" s="15" t="n">
        <v>12</v>
      </c>
      <c r="U61" s="19" t="n">
        <v>0.3976898444647758</v>
      </c>
      <c r="V61" s="15" t="n">
        <v>1</v>
      </c>
    </row>
    <row r="62">
      <c r="A62" s="15" t="inlineStr">
        <is>
          <t>Australia and Oceania</t>
        </is>
      </c>
      <c r="B62" s="15" t="inlineStr">
        <is>
          <t>Australia</t>
        </is>
      </c>
      <c r="C62" s="15" t="inlineStr">
        <is>
          <t>Cereal</t>
        </is>
      </c>
      <c r="D62" s="15" t="inlineStr">
        <is>
          <t>Offline</t>
        </is>
      </c>
      <c r="E62" s="15" t="inlineStr">
        <is>
          <t>H</t>
        </is>
      </c>
      <c r="F62" s="16" t="n">
        <v>41434</v>
      </c>
      <c r="G62" s="15" t="n">
        <v>450563752</v>
      </c>
      <c r="H62" s="16" t="n">
        <v>41457</v>
      </c>
      <c r="I62" s="17" t="n">
        <v>682</v>
      </c>
      <c r="J62" s="18" t="n">
        <v>205.7</v>
      </c>
      <c r="K62" s="18" t="n">
        <v>117.11</v>
      </c>
      <c r="L62" s="18" t="n">
        <v>140287.4</v>
      </c>
      <c r="M62" s="18" t="n">
        <v>79869.02</v>
      </c>
      <c r="N62" s="18" t="n">
        <v>60418.38</v>
      </c>
      <c r="O62" s="15" t="n">
        <v>2013</v>
      </c>
      <c r="P62" s="15" t="n">
        <v>6</v>
      </c>
      <c r="Q62" s="15" t="n">
        <v>9</v>
      </c>
      <c r="R62" s="15" t="inlineStr">
        <is>
          <t>Jun</t>
        </is>
      </c>
      <c r="S62" s="15" t="inlineStr">
        <is>
          <t>Q2</t>
        </is>
      </c>
      <c r="T62" s="15" t="n">
        <v>23</v>
      </c>
      <c r="U62" s="19" t="n">
        <v>0.4306757413709285</v>
      </c>
      <c r="V62" s="15" t="n">
        <v>1</v>
      </c>
    </row>
    <row r="63">
      <c r="A63" s="15" t="inlineStr">
        <is>
          <t>Europe</t>
        </is>
      </c>
      <c r="B63" s="15" t="inlineStr">
        <is>
          <t>San Marino</t>
        </is>
      </c>
      <c r="C63" s="15" t="inlineStr">
        <is>
          <t>Baby Food</t>
        </is>
      </c>
      <c r="D63" s="15" t="inlineStr">
        <is>
          <t>Online</t>
        </is>
      </c>
      <c r="E63" s="15" t="inlineStr">
        <is>
          <t>L</t>
        </is>
      </c>
      <c r="F63" s="16" t="n">
        <v>41451</v>
      </c>
      <c r="G63" s="15" t="n">
        <v>569662845</v>
      </c>
      <c r="H63" s="16" t="n">
        <v>41456</v>
      </c>
      <c r="I63" s="17" t="n">
        <v>4750</v>
      </c>
      <c r="J63" s="18" t="n">
        <v>255.28</v>
      </c>
      <c r="K63" s="18" t="n">
        <v>159.42</v>
      </c>
      <c r="L63" s="18" t="n">
        <v>1212580</v>
      </c>
      <c r="M63" s="18" t="n">
        <v>757245</v>
      </c>
      <c r="N63" s="18" t="n">
        <v>455335</v>
      </c>
      <c r="O63" s="15" t="n">
        <v>2013</v>
      </c>
      <c r="P63" s="15" t="n">
        <v>6</v>
      </c>
      <c r="Q63" s="15" t="n">
        <v>26</v>
      </c>
      <c r="R63" s="15" t="inlineStr">
        <is>
          <t>Jun</t>
        </is>
      </c>
      <c r="S63" s="15" t="inlineStr">
        <is>
          <t>Q2</t>
        </is>
      </c>
      <c r="T63" s="15" t="n">
        <v>5</v>
      </c>
      <c r="U63" s="19" t="n">
        <v>0.3755092447508618</v>
      </c>
      <c r="V63" s="15" t="n">
        <v>1</v>
      </c>
    </row>
    <row r="64">
      <c r="A64" s="15" t="inlineStr">
        <is>
          <t>Sub-Saharan Africa</t>
        </is>
      </c>
      <c r="B64" s="15" t="inlineStr">
        <is>
          <t>Cameroon</t>
        </is>
      </c>
      <c r="C64" s="15" t="inlineStr">
        <is>
          <t>Office Supplies</t>
        </is>
      </c>
      <c r="D64" s="15" t="inlineStr">
        <is>
          <t>Online</t>
        </is>
      </c>
      <c r="E64" s="15" t="inlineStr">
        <is>
          <t>M</t>
        </is>
      </c>
      <c r="F64" s="16" t="n">
        <v>40854</v>
      </c>
      <c r="G64" s="15" t="n">
        <v>177636754</v>
      </c>
      <c r="H64" s="16" t="n">
        <v>40862</v>
      </c>
      <c r="I64" s="17" t="n">
        <v>5518</v>
      </c>
      <c r="J64" s="18" t="n">
        <v>651.21</v>
      </c>
      <c r="K64" s="18" t="n">
        <v>524.96</v>
      </c>
      <c r="L64" s="18" t="n">
        <v>3593376.78</v>
      </c>
      <c r="M64" s="18" t="n">
        <v>2896729.28</v>
      </c>
      <c r="N64" s="18" t="n">
        <v>696647.5</v>
      </c>
      <c r="O64" s="15" t="n">
        <v>2011</v>
      </c>
      <c r="P64" s="15" t="n">
        <v>11</v>
      </c>
      <c r="Q64" s="15" t="n">
        <v>7</v>
      </c>
      <c r="R64" s="15" t="inlineStr">
        <is>
          <t>Nov</t>
        </is>
      </c>
      <c r="S64" s="15" t="inlineStr">
        <is>
          <t>Q4</t>
        </is>
      </c>
      <c r="T64" s="15" t="n">
        <v>8</v>
      </c>
      <c r="U64" s="19" t="n">
        <v>0.1938698730056357</v>
      </c>
      <c r="V64" s="15" t="n">
        <v>1</v>
      </c>
    </row>
    <row r="65">
      <c r="A65" s="15" t="inlineStr">
        <is>
          <t>Middle East and North Africa</t>
        </is>
      </c>
      <c r="B65" s="15" t="inlineStr">
        <is>
          <t>Libya</t>
        </is>
      </c>
      <c r="C65" s="15" t="inlineStr">
        <is>
          <t>Clothes</t>
        </is>
      </c>
      <c r="D65" s="15" t="inlineStr">
        <is>
          <t>Offline</t>
        </is>
      </c>
      <c r="E65" s="15" t="inlineStr">
        <is>
          <t>H</t>
        </is>
      </c>
      <c r="F65" s="16" t="n">
        <v>40481</v>
      </c>
      <c r="G65" s="15" t="n">
        <v>705784308</v>
      </c>
      <c r="H65" s="16" t="n">
        <v>40499</v>
      </c>
      <c r="I65" s="17" t="n">
        <v>6116</v>
      </c>
      <c r="J65" s="18" t="n">
        <v>109.28</v>
      </c>
      <c r="K65" s="18" t="n">
        <v>35.84</v>
      </c>
      <c r="L65" s="18" t="n">
        <v>668356.48</v>
      </c>
      <c r="M65" s="18" t="n">
        <v>219197.44</v>
      </c>
      <c r="N65" s="18" t="n">
        <v>449159.04</v>
      </c>
      <c r="O65" s="15" t="n">
        <v>2010</v>
      </c>
      <c r="P65" s="15" t="n">
        <v>10</v>
      </c>
      <c r="Q65" s="15" t="n">
        <v>30</v>
      </c>
      <c r="R65" s="15" t="inlineStr">
        <is>
          <t>Oct</t>
        </is>
      </c>
      <c r="S65" s="15" t="inlineStr">
        <is>
          <t>Q4</t>
        </is>
      </c>
      <c r="T65" s="15" t="n">
        <v>18</v>
      </c>
      <c r="U65" s="19" t="n">
        <v>0.6720351390922401</v>
      </c>
      <c r="V65" s="15" t="n">
        <v>1</v>
      </c>
    </row>
    <row r="66">
      <c r="A66" s="15" t="inlineStr">
        <is>
          <t>Central America and the Caribbean</t>
        </is>
      </c>
      <c r="B66" s="15" t="inlineStr">
        <is>
          <t>Haiti</t>
        </is>
      </c>
      <c r="C66" s="15" t="inlineStr">
        <is>
          <t>Cosmetics</t>
        </is>
      </c>
      <c r="D66" s="15" t="inlineStr">
        <is>
          <t>Offline</t>
        </is>
      </c>
      <c r="E66" s="15" t="inlineStr">
        <is>
          <t>H</t>
        </is>
      </c>
      <c r="F66" s="16" t="n">
        <v>41560</v>
      </c>
      <c r="G66" s="15" t="n">
        <v>505716836</v>
      </c>
      <c r="H66" s="16" t="n">
        <v>41594</v>
      </c>
      <c r="I66" s="17" t="n">
        <v>1705</v>
      </c>
      <c r="J66" s="18" t="n">
        <v>437.2</v>
      </c>
      <c r="K66" s="18" t="n">
        <v>263.33</v>
      </c>
      <c r="L66" s="18" t="n">
        <v>745426</v>
      </c>
      <c r="M66" s="18" t="n">
        <v>448977.65</v>
      </c>
      <c r="N66" s="18" t="n">
        <v>296448.35</v>
      </c>
      <c r="O66" s="15" t="n">
        <v>2013</v>
      </c>
      <c r="P66" s="15" t="n">
        <v>10</v>
      </c>
      <c r="Q66" s="15" t="n">
        <v>13</v>
      </c>
      <c r="R66" s="15" t="inlineStr">
        <is>
          <t>Oct</t>
        </is>
      </c>
      <c r="S66" s="15" t="inlineStr">
        <is>
          <t>Q4</t>
        </is>
      </c>
      <c r="T66" s="15" t="n">
        <v>34</v>
      </c>
      <c r="U66" s="19" t="n">
        <v>0.3976898444647758</v>
      </c>
      <c r="V66" s="15" t="n">
        <v>1</v>
      </c>
    </row>
    <row r="67">
      <c r="A67" s="15" t="inlineStr">
        <is>
          <t>Sub-Saharan Africa</t>
        </is>
      </c>
      <c r="B67" s="15" t="inlineStr">
        <is>
          <t>Rwanda</t>
        </is>
      </c>
      <c r="C67" s="15" t="inlineStr">
        <is>
          <t>Cosmetics</t>
        </is>
      </c>
      <c r="D67" s="15" t="inlineStr">
        <is>
          <t>Offline</t>
        </is>
      </c>
      <c r="E67" s="15" t="inlineStr">
        <is>
          <t>H</t>
        </is>
      </c>
      <c r="F67" s="16" t="n">
        <v>41558</v>
      </c>
      <c r="G67" s="15" t="n">
        <v>699358165</v>
      </c>
      <c r="H67" s="16" t="n">
        <v>41603</v>
      </c>
      <c r="I67" s="17" t="n">
        <v>4477</v>
      </c>
      <c r="J67" s="18" t="n">
        <v>437.2</v>
      </c>
      <c r="K67" s="18" t="n">
        <v>263.33</v>
      </c>
      <c r="L67" s="18" t="n">
        <v>1957344.4</v>
      </c>
      <c r="M67" s="18" t="n">
        <v>1178928.41</v>
      </c>
      <c r="N67" s="18" t="n">
        <v>778415.99</v>
      </c>
      <c r="O67" s="15" t="n">
        <v>2013</v>
      </c>
      <c r="P67" s="15" t="n">
        <v>10</v>
      </c>
      <c r="Q67" s="15" t="n">
        <v>11</v>
      </c>
      <c r="R67" s="15" t="inlineStr">
        <is>
          <t>Oct</t>
        </is>
      </c>
      <c r="S67" s="15" t="inlineStr">
        <is>
          <t>Q4</t>
        </is>
      </c>
      <c r="T67" s="15" t="n">
        <v>45</v>
      </c>
      <c r="U67" s="19" t="n">
        <v>0.3976898444647758</v>
      </c>
      <c r="V67" s="15" t="n">
        <v>1</v>
      </c>
    </row>
    <row r="68">
      <c r="A68" s="15" t="inlineStr">
        <is>
          <t>Sub-Saharan Africa</t>
        </is>
      </c>
      <c r="B68" s="15" t="inlineStr">
        <is>
          <t>Gabon</t>
        </is>
      </c>
      <c r="C68" s="15" t="inlineStr">
        <is>
          <t>Personal Care</t>
        </is>
      </c>
      <c r="D68" s="15" t="inlineStr">
        <is>
          <t>Offline</t>
        </is>
      </c>
      <c r="E68" s="15" t="inlineStr">
        <is>
          <t>L</t>
        </is>
      </c>
      <c r="F68" s="16" t="n">
        <v>41098</v>
      </c>
      <c r="G68" s="15" t="n">
        <v>228944623</v>
      </c>
      <c r="H68" s="16" t="n">
        <v>41099</v>
      </c>
      <c r="I68" s="17" t="n">
        <v>8656</v>
      </c>
      <c r="J68" s="18" t="n">
        <v>81.73</v>
      </c>
      <c r="K68" s="18" t="n">
        <v>56.67</v>
      </c>
      <c r="L68" s="18" t="n">
        <v>707454.88</v>
      </c>
      <c r="M68" s="18" t="n">
        <v>490535.52</v>
      </c>
      <c r="N68" s="18" t="n">
        <v>216919.36</v>
      </c>
      <c r="O68" s="15" t="n">
        <v>2012</v>
      </c>
      <c r="P68" s="15" t="n">
        <v>7</v>
      </c>
      <c r="Q68" s="15" t="n">
        <v>8</v>
      </c>
      <c r="R68" s="15" t="inlineStr">
        <is>
          <t>Jul</t>
        </is>
      </c>
      <c r="S68" s="15" t="inlineStr">
        <is>
          <t>Q3</t>
        </is>
      </c>
      <c r="T68" s="15" t="n">
        <v>1</v>
      </c>
      <c r="U68" s="19" t="n">
        <v>0.3066193564174721</v>
      </c>
      <c r="V68" s="15" t="n">
        <v>1</v>
      </c>
    </row>
    <row r="69">
      <c r="A69" s="15" t="inlineStr">
        <is>
          <t>Central America and the Caribbean</t>
        </is>
      </c>
      <c r="B69" s="15" t="inlineStr">
        <is>
          <t>Belize</t>
        </is>
      </c>
      <c r="C69" s="15" t="inlineStr">
        <is>
          <t>Clothes</t>
        </is>
      </c>
      <c r="D69" s="15" t="inlineStr">
        <is>
          <t>Offline</t>
        </is>
      </c>
      <c r="E69" s="15" t="inlineStr">
        <is>
          <t>M</t>
        </is>
      </c>
      <c r="F69" s="16" t="n">
        <v>42576</v>
      </c>
      <c r="G69" s="15" t="n">
        <v>807025039</v>
      </c>
      <c r="H69" s="16" t="n">
        <v>42620</v>
      </c>
      <c r="I69" s="17" t="n">
        <v>5498</v>
      </c>
      <c r="J69" s="18" t="n">
        <v>109.28</v>
      </c>
      <c r="K69" s="18" t="n">
        <v>35.84</v>
      </c>
      <c r="L69" s="18" t="n">
        <v>600821.4399999999</v>
      </c>
      <c r="M69" s="18" t="n">
        <v>197048.32</v>
      </c>
      <c r="N69" s="18" t="n">
        <v>403773.12</v>
      </c>
      <c r="O69" s="15" t="n">
        <v>2016</v>
      </c>
      <c r="P69" s="15" t="n">
        <v>7</v>
      </c>
      <c r="Q69" s="15" t="n">
        <v>25</v>
      </c>
      <c r="R69" s="15" t="inlineStr">
        <is>
          <t>Jul</t>
        </is>
      </c>
      <c r="S69" s="15" t="inlineStr">
        <is>
          <t>Q3</t>
        </is>
      </c>
      <c r="T69" s="15" t="n">
        <v>44</v>
      </c>
      <c r="U69" s="19" t="n">
        <v>0.6720351390922402</v>
      </c>
      <c r="V69" s="15" t="n">
        <v>1</v>
      </c>
    </row>
    <row r="70">
      <c r="A70" s="15" t="inlineStr">
        <is>
          <t>Europe</t>
        </is>
      </c>
      <c r="B70" s="15" t="inlineStr">
        <is>
          <t>Lithuania</t>
        </is>
      </c>
      <c r="C70" s="15" t="inlineStr">
        <is>
          <t>Office Supplies</t>
        </is>
      </c>
      <c r="D70" s="15" t="inlineStr">
        <is>
          <t>Offline</t>
        </is>
      </c>
      <c r="E70" s="15" t="inlineStr">
        <is>
          <t>H</t>
        </is>
      </c>
      <c r="F70" s="16" t="n">
        <v>40475</v>
      </c>
      <c r="G70" s="15" t="n">
        <v>166460740</v>
      </c>
      <c r="H70" s="16" t="n">
        <v>40499</v>
      </c>
      <c r="I70" s="17" t="n">
        <v>8287</v>
      </c>
      <c r="J70" s="18" t="n">
        <v>651.21</v>
      </c>
      <c r="K70" s="18" t="n">
        <v>524.96</v>
      </c>
      <c r="L70" s="18" t="n">
        <v>5396577.27</v>
      </c>
      <c r="M70" s="18" t="n">
        <v>4350343.52</v>
      </c>
      <c r="N70" s="18" t="n">
        <v>1046233.75</v>
      </c>
      <c r="O70" s="15" t="n">
        <v>2010</v>
      </c>
      <c r="P70" s="15" t="n">
        <v>10</v>
      </c>
      <c r="Q70" s="15" t="n">
        <v>24</v>
      </c>
      <c r="R70" s="15" t="inlineStr">
        <is>
          <t>Oct</t>
        </is>
      </c>
      <c r="S70" s="15" t="inlineStr">
        <is>
          <t>Q4</t>
        </is>
      </c>
      <c r="T70" s="15" t="n">
        <v>24</v>
      </c>
      <c r="U70" s="19" t="n">
        <v>0.1938698730056357</v>
      </c>
      <c r="V70" s="15" t="n">
        <v>1</v>
      </c>
    </row>
    <row r="71">
      <c r="A71" s="15" t="inlineStr">
        <is>
          <t>Sub-Saharan Africa</t>
        </is>
      </c>
      <c r="B71" s="15" t="inlineStr">
        <is>
          <t>Madagascar</t>
        </is>
      </c>
      <c r="C71" s="15" t="inlineStr">
        <is>
          <t>Clothes</t>
        </is>
      </c>
      <c r="D71" s="15" t="inlineStr">
        <is>
          <t>Offline</t>
        </is>
      </c>
      <c r="E71" s="15" t="inlineStr">
        <is>
          <t>L</t>
        </is>
      </c>
      <c r="F71" s="16" t="n">
        <v>42119</v>
      </c>
      <c r="G71" s="15" t="n">
        <v>610425555</v>
      </c>
      <c r="H71" s="16" t="n">
        <v>42152</v>
      </c>
      <c r="I71" s="17" t="n">
        <v>7342</v>
      </c>
      <c r="J71" s="18" t="n">
        <v>109.28</v>
      </c>
      <c r="K71" s="18" t="n">
        <v>35.84</v>
      </c>
      <c r="L71" s="18" t="n">
        <v>802333.76</v>
      </c>
      <c r="M71" s="18" t="n">
        <v>263137.28</v>
      </c>
      <c r="N71" s="18" t="n">
        <v>539196.48</v>
      </c>
      <c r="O71" s="15" t="n">
        <v>2015</v>
      </c>
      <c r="P71" s="15" t="n">
        <v>4</v>
      </c>
      <c r="Q71" s="15" t="n">
        <v>25</v>
      </c>
      <c r="R71" s="15" t="inlineStr">
        <is>
          <t>Apr</t>
        </is>
      </c>
      <c r="S71" s="15" t="inlineStr">
        <is>
          <t>Q2</t>
        </is>
      </c>
      <c r="T71" s="15" t="n">
        <v>33</v>
      </c>
      <c r="U71" s="19" t="n">
        <v>0.6720351390922401</v>
      </c>
      <c r="V71" s="15" t="n">
        <v>1</v>
      </c>
    </row>
    <row r="72">
      <c r="A72" s="15" t="inlineStr">
        <is>
          <t>Asia</t>
        </is>
      </c>
      <c r="B72" s="15" t="inlineStr">
        <is>
          <t>Turkmenistan</t>
        </is>
      </c>
      <c r="C72" s="15" t="inlineStr">
        <is>
          <t>Office Supplies</t>
        </is>
      </c>
      <c r="D72" s="15" t="inlineStr">
        <is>
          <t>Online</t>
        </is>
      </c>
      <c r="E72" s="15" t="inlineStr">
        <is>
          <t>M</t>
        </is>
      </c>
      <c r="F72" s="16" t="n">
        <v>41387</v>
      </c>
      <c r="G72" s="15" t="n">
        <v>462405812</v>
      </c>
      <c r="H72" s="16" t="n">
        <v>41414</v>
      </c>
      <c r="I72" s="17" t="n">
        <v>5010</v>
      </c>
      <c r="J72" s="18" t="n">
        <v>651.21</v>
      </c>
      <c r="K72" s="18" t="n">
        <v>524.96</v>
      </c>
      <c r="L72" s="18" t="n">
        <v>3262562.1</v>
      </c>
      <c r="M72" s="18" t="n">
        <v>2630049.6</v>
      </c>
      <c r="N72" s="18" t="n">
        <v>632512.5</v>
      </c>
      <c r="O72" s="15" t="n">
        <v>2013</v>
      </c>
      <c r="P72" s="15" t="n">
        <v>4</v>
      </c>
      <c r="Q72" s="15" t="n">
        <v>23</v>
      </c>
      <c r="R72" s="15" t="inlineStr">
        <is>
          <t>Apr</t>
        </is>
      </c>
      <c r="S72" s="15" t="inlineStr">
        <is>
          <t>Q2</t>
        </is>
      </c>
      <c r="T72" s="15" t="n">
        <v>27</v>
      </c>
      <c r="U72" s="19" t="n">
        <v>0.1938698730056357</v>
      </c>
      <c r="V72" s="15" t="n">
        <v>1</v>
      </c>
    </row>
    <row r="73">
      <c r="A73" s="15" t="inlineStr">
        <is>
          <t>Middle East and North Africa</t>
        </is>
      </c>
      <c r="B73" s="15" t="inlineStr">
        <is>
          <t>Libya</t>
        </is>
      </c>
      <c r="C73" s="15" t="inlineStr">
        <is>
          <t>Fruits</t>
        </is>
      </c>
      <c r="D73" s="15" t="inlineStr">
        <is>
          <t>Online</t>
        </is>
      </c>
      <c r="E73" s="15" t="inlineStr">
        <is>
          <t>L</t>
        </is>
      </c>
      <c r="F73" s="16" t="n">
        <v>42230</v>
      </c>
      <c r="G73" s="15" t="n">
        <v>816200339</v>
      </c>
      <c r="H73" s="16" t="n">
        <v>42277</v>
      </c>
      <c r="I73" s="17" t="n">
        <v>673</v>
      </c>
      <c r="J73" s="18" t="n">
        <v>9.33</v>
      </c>
      <c r="K73" s="18" t="n">
        <v>6.92</v>
      </c>
      <c r="L73" s="18" t="n">
        <v>6279.09</v>
      </c>
      <c r="M73" s="18" t="n">
        <v>4657.16</v>
      </c>
      <c r="N73" s="18" t="n">
        <v>1621.93</v>
      </c>
      <c r="O73" s="15" t="n">
        <v>2015</v>
      </c>
      <c r="P73" s="15" t="n">
        <v>8</v>
      </c>
      <c r="Q73" s="15" t="n">
        <v>14</v>
      </c>
      <c r="R73" s="15" t="inlineStr">
        <is>
          <t>Aug</t>
        </is>
      </c>
      <c r="S73" s="15" t="inlineStr">
        <is>
          <t>Q3</t>
        </is>
      </c>
      <c r="T73" s="15" t="n">
        <v>47</v>
      </c>
      <c r="U73" s="19" t="n">
        <v>0.2583065380493033</v>
      </c>
      <c r="V73" s="15" t="n">
        <v>1</v>
      </c>
    </row>
    <row r="74">
      <c r="A74" s="15" t="inlineStr">
        <is>
          <t>Sub-Saharan Africa</t>
        </is>
      </c>
      <c r="B74" s="15" t="inlineStr">
        <is>
          <t>Democratic Republic of the Congo</t>
        </is>
      </c>
      <c r="C74" s="15" t="inlineStr">
        <is>
          <t>Beverages</t>
        </is>
      </c>
      <c r="D74" s="15" t="inlineStr">
        <is>
          <t>Online</t>
        </is>
      </c>
      <c r="E74" s="15" t="inlineStr">
        <is>
          <t>C</t>
        </is>
      </c>
      <c r="F74" s="16" t="n">
        <v>40689</v>
      </c>
      <c r="G74" s="15" t="n">
        <v>585920464</v>
      </c>
      <c r="H74" s="16" t="n">
        <v>40739</v>
      </c>
      <c r="I74" s="17" t="n">
        <v>5741</v>
      </c>
      <c r="J74" s="18" t="n">
        <v>47.45</v>
      </c>
      <c r="K74" s="18" t="n">
        <v>31.79</v>
      </c>
      <c r="L74" s="18" t="n">
        <v>272410.45</v>
      </c>
      <c r="M74" s="18" t="n">
        <v>182506.39</v>
      </c>
      <c r="N74" s="18" t="n">
        <v>89904.06</v>
      </c>
      <c r="O74" s="15" t="n">
        <v>2011</v>
      </c>
      <c r="P74" s="15" t="n">
        <v>5</v>
      </c>
      <c r="Q74" s="15" t="n">
        <v>26</v>
      </c>
      <c r="R74" s="15" t="inlineStr">
        <is>
          <t>May</t>
        </is>
      </c>
      <c r="S74" s="15" t="inlineStr">
        <is>
          <t>Q2</t>
        </is>
      </c>
      <c r="T74" s="15" t="n">
        <v>50</v>
      </c>
      <c r="U74" s="19" t="n">
        <v>0.330031612223393</v>
      </c>
      <c r="V74" s="15" t="n">
        <v>1</v>
      </c>
    </row>
    <row r="75">
      <c r="A75" s="15" t="inlineStr">
        <is>
          <t>Sub-Saharan Africa</t>
        </is>
      </c>
      <c r="B75" s="15" t="inlineStr">
        <is>
          <t>Djibouti</t>
        </is>
      </c>
      <c r="C75" s="15" t="inlineStr">
        <is>
          <t>Cereal</t>
        </is>
      </c>
      <c r="D75" s="15" t="inlineStr">
        <is>
          <t>Online</t>
        </is>
      </c>
      <c r="E75" s="15" t="inlineStr">
        <is>
          <t>H</t>
        </is>
      </c>
      <c r="F75" s="16" t="n">
        <v>42875</v>
      </c>
      <c r="G75" s="15" t="n">
        <v>555990016</v>
      </c>
      <c r="H75" s="16" t="n">
        <v>42903</v>
      </c>
      <c r="I75" s="17" t="n">
        <v>8656</v>
      </c>
      <c r="J75" s="18" t="n">
        <v>205.7</v>
      </c>
      <c r="K75" s="18" t="n">
        <v>117.11</v>
      </c>
      <c r="L75" s="18" t="n">
        <v>1780539.2</v>
      </c>
      <c r="M75" s="18" t="n">
        <v>1013704.16</v>
      </c>
      <c r="N75" s="18" t="n">
        <v>766835.04</v>
      </c>
      <c r="O75" s="15" t="n">
        <v>2017</v>
      </c>
      <c r="P75" s="15" t="n">
        <v>5</v>
      </c>
      <c r="Q75" s="15" t="n">
        <v>20</v>
      </c>
      <c r="R75" s="15" t="inlineStr">
        <is>
          <t>May</t>
        </is>
      </c>
      <c r="S75" s="15" t="inlineStr">
        <is>
          <t>Q2</t>
        </is>
      </c>
      <c r="T75" s="15" t="n">
        <v>28</v>
      </c>
      <c r="U75" s="19" t="n">
        <v>0.4306757413709286</v>
      </c>
      <c r="V75" s="15" t="n">
        <v>1</v>
      </c>
    </row>
    <row r="76">
      <c r="A76" s="15" t="inlineStr">
        <is>
          <t>Middle East and North Africa</t>
        </is>
      </c>
      <c r="B76" s="15" t="inlineStr">
        <is>
          <t>Pakistan</t>
        </is>
      </c>
      <c r="C76" s="15" t="inlineStr">
        <is>
          <t>Cosmetics</t>
        </is>
      </c>
      <c r="D76" s="15" t="inlineStr">
        <is>
          <t>Offline</t>
        </is>
      </c>
      <c r="E76" s="15" t="inlineStr">
        <is>
          <t>L</t>
        </is>
      </c>
      <c r="F76" s="16" t="n">
        <v>41460</v>
      </c>
      <c r="G76" s="15" t="n">
        <v>231145322</v>
      </c>
      <c r="H76" s="16" t="n">
        <v>41502</v>
      </c>
      <c r="I76" s="17" t="n">
        <v>9892</v>
      </c>
      <c r="J76" s="18" t="n">
        <v>437.2</v>
      </c>
      <c r="K76" s="18" t="n">
        <v>263.33</v>
      </c>
      <c r="L76" s="18" t="n">
        <v>4324782.4</v>
      </c>
      <c r="M76" s="18" t="n">
        <v>2604860.36</v>
      </c>
      <c r="N76" s="18" t="n">
        <v>1719922.04</v>
      </c>
      <c r="O76" s="15" t="n">
        <v>2013</v>
      </c>
      <c r="P76" s="15" t="n">
        <v>7</v>
      </c>
      <c r="Q76" s="15" t="n">
        <v>5</v>
      </c>
      <c r="R76" s="15" t="inlineStr">
        <is>
          <t>Jul</t>
        </is>
      </c>
      <c r="S76" s="15" t="inlineStr">
        <is>
          <t>Q3</t>
        </is>
      </c>
      <c r="T76" s="15" t="n">
        <v>42</v>
      </c>
      <c r="U76" s="19" t="n">
        <v>0.3976898444647758</v>
      </c>
      <c r="V76" s="15" t="n">
        <v>1</v>
      </c>
    </row>
    <row r="77">
      <c r="A77" s="15" t="inlineStr">
        <is>
          <t>North America</t>
        </is>
      </c>
      <c r="B77" s="15" t="inlineStr">
        <is>
          <t>Mexico</t>
        </is>
      </c>
      <c r="C77" s="15" t="inlineStr">
        <is>
          <t>Household</t>
        </is>
      </c>
      <c r="D77" s="15" t="inlineStr">
        <is>
          <t>Offline</t>
        </is>
      </c>
      <c r="E77" s="15" t="inlineStr">
        <is>
          <t>C</t>
        </is>
      </c>
      <c r="F77" s="16" t="n">
        <v>41949</v>
      </c>
      <c r="G77" s="15" t="n">
        <v>986435210</v>
      </c>
      <c r="H77" s="16" t="n">
        <v>41985</v>
      </c>
      <c r="I77" s="17" t="n">
        <v>6954</v>
      </c>
      <c r="J77" s="18" t="n">
        <v>668.27</v>
      </c>
      <c r="K77" s="18" t="n">
        <v>502.54</v>
      </c>
      <c r="L77" s="18" t="n">
        <v>4647149.58</v>
      </c>
      <c r="M77" s="18" t="n">
        <v>3494663.16</v>
      </c>
      <c r="N77" s="18" t="n">
        <v>1152486.42</v>
      </c>
      <c r="O77" s="15" t="n">
        <v>2014</v>
      </c>
      <c r="P77" s="15" t="n">
        <v>11</v>
      </c>
      <c r="Q77" s="15" t="n">
        <v>6</v>
      </c>
      <c r="R77" s="15" t="inlineStr">
        <is>
          <t>Nov</t>
        </is>
      </c>
      <c r="S77" s="15" t="inlineStr">
        <is>
          <t>Q4</t>
        </is>
      </c>
      <c r="T77" s="15" t="n">
        <v>36</v>
      </c>
      <c r="U77" s="19" t="n">
        <v>0.247998563454891</v>
      </c>
      <c r="V77" s="15" t="n">
        <v>1</v>
      </c>
    </row>
    <row r="78">
      <c r="A78" s="15" t="inlineStr">
        <is>
          <t>Australia and Oceania</t>
        </is>
      </c>
      <c r="B78" s="15" t="inlineStr">
        <is>
          <t>Federated States of Micronesia</t>
        </is>
      </c>
      <c r="C78" s="15" t="inlineStr">
        <is>
          <t>Beverages</t>
        </is>
      </c>
      <c r="D78" s="15" t="inlineStr">
        <is>
          <t>Online</t>
        </is>
      </c>
      <c r="E78" s="15" t="inlineStr">
        <is>
          <t>C</t>
        </is>
      </c>
      <c r="F78" s="16" t="n">
        <v>41940</v>
      </c>
      <c r="G78" s="15" t="n">
        <v>217221009</v>
      </c>
      <c r="H78" s="16" t="n">
        <v>41958</v>
      </c>
      <c r="I78" s="17" t="n">
        <v>9379</v>
      </c>
      <c r="J78" s="18" t="n">
        <v>47.45</v>
      </c>
      <c r="K78" s="18" t="n">
        <v>31.79</v>
      </c>
      <c r="L78" s="18" t="n">
        <v>445033.55</v>
      </c>
      <c r="M78" s="18" t="n">
        <v>298158.41</v>
      </c>
      <c r="N78" s="18" t="n">
        <v>146875.14</v>
      </c>
      <c r="O78" s="15" t="n">
        <v>2014</v>
      </c>
      <c r="P78" s="15" t="n">
        <v>10</v>
      </c>
      <c r="Q78" s="15" t="n">
        <v>28</v>
      </c>
      <c r="R78" s="15" t="inlineStr">
        <is>
          <t>Oct</t>
        </is>
      </c>
      <c r="S78" s="15" t="inlineStr">
        <is>
          <t>Q4</t>
        </is>
      </c>
      <c r="T78" s="15" t="n">
        <v>18</v>
      </c>
      <c r="U78" s="19" t="n">
        <v>0.3300316122233931</v>
      </c>
      <c r="V78" s="15" t="n">
        <v>1</v>
      </c>
    </row>
    <row r="79">
      <c r="A79" s="15" t="inlineStr">
        <is>
          <t>Asia</t>
        </is>
      </c>
      <c r="B79" s="15" t="inlineStr">
        <is>
          <t>Laos</t>
        </is>
      </c>
      <c r="C79" s="15" t="inlineStr">
        <is>
          <t>Vegetables</t>
        </is>
      </c>
      <c r="D79" s="15" t="inlineStr">
        <is>
          <t>Offline</t>
        </is>
      </c>
      <c r="E79" s="15" t="inlineStr">
        <is>
          <t>C</t>
        </is>
      </c>
      <c r="F79" s="16" t="n">
        <v>40801</v>
      </c>
      <c r="G79" s="15" t="n">
        <v>789176547</v>
      </c>
      <c r="H79" s="16" t="n">
        <v>40839</v>
      </c>
      <c r="I79" s="17" t="n">
        <v>3732</v>
      </c>
      <c r="J79" s="18" t="n">
        <v>154.06</v>
      </c>
      <c r="K79" s="18" t="n">
        <v>90.93000000000001</v>
      </c>
      <c r="L79" s="18" t="n">
        <v>574951.92</v>
      </c>
      <c r="M79" s="18" t="n">
        <v>339350.76</v>
      </c>
      <c r="N79" s="18" t="n">
        <v>235601.16</v>
      </c>
      <c r="O79" s="15" t="n">
        <v>2011</v>
      </c>
      <c r="P79" s="15" t="n">
        <v>9</v>
      </c>
      <c r="Q79" s="15" t="n">
        <v>15</v>
      </c>
      <c r="R79" s="15" t="inlineStr">
        <is>
          <t>Sep</t>
        </is>
      </c>
      <c r="S79" s="15" t="inlineStr">
        <is>
          <t>Q3</t>
        </is>
      </c>
      <c r="T79" s="15" t="n">
        <v>38</v>
      </c>
      <c r="U79" s="19" t="n">
        <v>0.4097754121770739</v>
      </c>
      <c r="V79" s="15" t="n">
        <v>1</v>
      </c>
    </row>
    <row r="80">
      <c r="A80" s="15" t="inlineStr">
        <is>
          <t>Europe</t>
        </is>
      </c>
      <c r="B80" s="15" t="inlineStr">
        <is>
          <t>Monaco</t>
        </is>
      </c>
      <c r="C80" s="15" t="inlineStr">
        <is>
          <t>Baby Food</t>
        </is>
      </c>
      <c r="D80" s="15" t="inlineStr">
        <is>
          <t>Offline</t>
        </is>
      </c>
      <c r="E80" s="15" t="inlineStr">
        <is>
          <t>H</t>
        </is>
      </c>
      <c r="F80" s="16" t="n">
        <v>41058</v>
      </c>
      <c r="G80" s="15" t="n">
        <v>688288152</v>
      </c>
      <c r="H80" s="16" t="n">
        <v>41062</v>
      </c>
      <c r="I80" s="17" t="n">
        <v>8614</v>
      </c>
      <c r="J80" s="18" t="n">
        <v>255.28</v>
      </c>
      <c r="K80" s="18" t="n">
        <v>159.42</v>
      </c>
      <c r="L80" s="18" t="n">
        <v>2198981.92</v>
      </c>
      <c r="M80" s="18" t="n">
        <v>1373243.88</v>
      </c>
      <c r="N80" s="18" t="n">
        <v>825738.04</v>
      </c>
      <c r="O80" s="15" t="n">
        <v>2012</v>
      </c>
      <c r="P80" s="15" t="n">
        <v>5</v>
      </c>
      <c r="Q80" s="15" t="n">
        <v>29</v>
      </c>
      <c r="R80" s="15" t="inlineStr">
        <is>
          <t>May</t>
        </is>
      </c>
      <c r="S80" s="15" t="inlineStr">
        <is>
          <t>Q2</t>
        </is>
      </c>
      <c r="T80" s="15" t="n">
        <v>4</v>
      </c>
      <c r="U80" s="19" t="n">
        <v>0.3755092447508618</v>
      </c>
      <c r="V80" s="15" t="n">
        <v>1</v>
      </c>
    </row>
    <row r="81">
      <c r="A81" s="15" t="inlineStr">
        <is>
          <t>Australia and Oceania</t>
        </is>
      </c>
      <c r="B81" s="15" t="inlineStr">
        <is>
          <t>Samoa</t>
        </is>
      </c>
      <c r="C81" s="15" t="inlineStr">
        <is>
          <t>Cosmetics</t>
        </is>
      </c>
      <c r="D81" s="15" t="inlineStr">
        <is>
          <t>Online</t>
        </is>
      </c>
      <c r="E81" s="15" t="inlineStr">
        <is>
          <t>H</t>
        </is>
      </c>
      <c r="F81" s="16" t="n">
        <v>41475</v>
      </c>
      <c r="G81" s="15" t="n">
        <v>670854651</v>
      </c>
      <c r="H81" s="16" t="n">
        <v>41493</v>
      </c>
      <c r="I81" s="17" t="n">
        <v>9654</v>
      </c>
      <c r="J81" s="18" t="n">
        <v>437.2</v>
      </c>
      <c r="K81" s="18" t="n">
        <v>263.33</v>
      </c>
      <c r="L81" s="18" t="n">
        <v>4220728.8</v>
      </c>
      <c r="M81" s="18" t="n">
        <v>2542187.82</v>
      </c>
      <c r="N81" s="18" t="n">
        <v>1678540.98</v>
      </c>
      <c r="O81" s="15" t="n">
        <v>2013</v>
      </c>
      <c r="P81" s="15" t="n">
        <v>7</v>
      </c>
      <c r="Q81" s="15" t="n">
        <v>20</v>
      </c>
      <c r="R81" s="15" t="inlineStr">
        <is>
          <t>Jul</t>
        </is>
      </c>
      <c r="S81" s="15" t="inlineStr">
        <is>
          <t>Q3</t>
        </is>
      </c>
      <c r="T81" s="15" t="n">
        <v>18</v>
      </c>
      <c r="U81" s="19" t="n">
        <v>0.3976898444647758</v>
      </c>
      <c r="V81" s="15" t="n">
        <v>1</v>
      </c>
    </row>
    <row r="82">
      <c r="A82" s="15" t="inlineStr">
        <is>
          <t>Europe</t>
        </is>
      </c>
      <c r="B82" s="15" t="inlineStr">
        <is>
          <t>Spain</t>
        </is>
      </c>
      <c r="C82" s="15" t="inlineStr">
        <is>
          <t>Household</t>
        </is>
      </c>
      <c r="D82" s="15" t="inlineStr">
        <is>
          <t>Offline</t>
        </is>
      </c>
      <c r="E82" s="15" t="inlineStr">
        <is>
          <t>L</t>
        </is>
      </c>
      <c r="F82" s="16" t="n">
        <v>41203</v>
      </c>
      <c r="G82" s="15" t="n">
        <v>213487374</v>
      </c>
      <c r="H82" s="16" t="n">
        <v>41243</v>
      </c>
      <c r="I82" s="17" t="n">
        <v>4513</v>
      </c>
      <c r="J82" s="18" t="n">
        <v>668.27</v>
      </c>
      <c r="K82" s="18" t="n">
        <v>502.54</v>
      </c>
      <c r="L82" s="18" t="n">
        <v>3015902.51</v>
      </c>
      <c r="M82" s="18" t="n">
        <v>2267963.02</v>
      </c>
      <c r="N82" s="18" t="n">
        <v>747939.49</v>
      </c>
      <c r="O82" s="15" t="n">
        <v>2012</v>
      </c>
      <c r="P82" s="15" t="n">
        <v>10</v>
      </c>
      <c r="Q82" s="15" t="n">
        <v>21</v>
      </c>
      <c r="R82" s="15" t="inlineStr">
        <is>
          <t>Oct</t>
        </is>
      </c>
      <c r="S82" s="15" t="inlineStr">
        <is>
          <t>Q4</t>
        </is>
      </c>
      <c r="T82" s="15" t="n">
        <v>40</v>
      </c>
      <c r="U82" s="19" t="n">
        <v>0.247998563454891</v>
      </c>
      <c r="V82" s="15" t="n">
        <v>1</v>
      </c>
    </row>
    <row r="83">
      <c r="A83" s="15" t="inlineStr">
        <is>
          <t>Middle East and North Africa</t>
        </is>
      </c>
      <c r="B83" s="15" t="inlineStr">
        <is>
          <t>Lebanon</t>
        </is>
      </c>
      <c r="C83" s="15" t="inlineStr">
        <is>
          <t>Clothes</t>
        </is>
      </c>
      <c r="D83" s="15" t="inlineStr">
        <is>
          <t>Online</t>
        </is>
      </c>
      <c r="E83" s="15" t="inlineStr">
        <is>
          <t>L</t>
        </is>
      </c>
      <c r="F83" s="16" t="n">
        <v>41170</v>
      </c>
      <c r="G83" s="15" t="n">
        <v>663110148</v>
      </c>
      <c r="H83" s="16" t="n">
        <v>41190</v>
      </c>
      <c r="I83" s="17" t="n">
        <v>7884</v>
      </c>
      <c r="J83" s="18" t="n">
        <v>109.28</v>
      </c>
      <c r="K83" s="18" t="n">
        <v>35.84</v>
      </c>
      <c r="L83" s="18" t="n">
        <v>861563.52</v>
      </c>
      <c r="M83" s="18" t="n">
        <v>282562.56</v>
      </c>
      <c r="N83" s="18" t="n">
        <v>579000.96</v>
      </c>
      <c r="O83" s="15" t="n">
        <v>2012</v>
      </c>
      <c r="P83" s="15" t="n">
        <v>9</v>
      </c>
      <c r="Q83" s="15" t="n">
        <v>18</v>
      </c>
      <c r="R83" s="15" t="inlineStr">
        <is>
          <t>Sep</t>
        </is>
      </c>
      <c r="S83" s="15" t="inlineStr">
        <is>
          <t>Q3</t>
        </is>
      </c>
      <c r="T83" s="15" t="n">
        <v>20</v>
      </c>
      <c r="U83" s="19" t="n">
        <v>0.6720351390922401</v>
      </c>
      <c r="V83" s="15" t="n">
        <v>1</v>
      </c>
    </row>
    <row r="84">
      <c r="A84" s="15" t="inlineStr">
        <is>
          <t>Middle East and North Africa</t>
        </is>
      </c>
      <c r="B84" s="15" t="inlineStr">
        <is>
          <t>Iran</t>
        </is>
      </c>
      <c r="C84" s="15" t="inlineStr">
        <is>
          <t>Cosmetics</t>
        </is>
      </c>
      <c r="D84" s="15" t="inlineStr">
        <is>
          <t>Online</t>
        </is>
      </c>
      <c r="E84" s="15" t="inlineStr">
        <is>
          <t>H</t>
        </is>
      </c>
      <c r="F84" s="16" t="n">
        <v>42689</v>
      </c>
      <c r="G84" s="15" t="n">
        <v>286959302</v>
      </c>
      <c r="H84" s="16" t="n">
        <v>42712</v>
      </c>
      <c r="I84" s="17" t="n">
        <v>6489</v>
      </c>
      <c r="J84" s="18" t="n">
        <v>437.2</v>
      </c>
      <c r="K84" s="18" t="n">
        <v>263.33</v>
      </c>
      <c r="L84" s="18" t="n">
        <v>2836990.8</v>
      </c>
      <c r="M84" s="18" t="n">
        <v>1708748.37</v>
      </c>
      <c r="N84" s="18" t="n">
        <v>1128242.43</v>
      </c>
      <c r="O84" s="15" t="n">
        <v>2016</v>
      </c>
      <c r="P84" s="15" t="n">
        <v>11</v>
      </c>
      <c r="Q84" s="15" t="n">
        <v>15</v>
      </c>
      <c r="R84" s="15" t="inlineStr">
        <is>
          <t>Nov</t>
        </is>
      </c>
      <c r="S84" s="15" t="inlineStr">
        <is>
          <t>Q4</t>
        </is>
      </c>
      <c r="T84" s="15" t="n">
        <v>23</v>
      </c>
      <c r="U84" s="19" t="n">
        <v>0.3976898444647758</v>
      </c>
      <c r="V84" s="15" t="n">
        <v>1</v>
      </c>
    </row>
    <row r="85">
      <c r="A85" s="15" t="inlineStr">
        <is>
          <t>Sub-Saharan Africa</t>
        </is>
      </c>
      <c r="B85" s="15" t="inlineStr">
        <is>
          <t>Zambia</t>
        </is>
      </c>
      <c r="C85" s="15" t="inlineStr">
        <is>
          <t>Snacks</t>
        </is>
      </c>
      <c r="D85" s="15" t="inlineStr">
        <is>
          <t>Online</t>
        </is>
      </c>
      <c r="E85" s="15" t="inlineStr">
        <is>
          <t>L</t>
        </is>
      </c>
      <c r="F85" s="16" t="n">
        <v>40547</v>
      </c>
      <c r="G85" s="15" t="n">
        <v>122583663</v>
      </c>
      <c r="H85" s="16" t="n">
        <v>40548</v>
      </c>
      <c r="I85" s="17" t="n">
        <v>4085</v>
      </c>
      <c r="J85" s="18" t="n">
        <v>152.58</v>
      </c>
      <c r="K85" s="18" t="n">
        <v>97.44</v>
      </c>
      <c r="L85" s="18" t="n">
        <v>623289.3</v>
      </c>
      <c r="M85" s="18" t="n">
        <v>398042.4</v>
      </c>
      <c r="N85" s="18" t="n">
        <v>225246.9</v>
      </c>
      <c r="O85" s="15" t="n">
        <v>2011</v>
      </c>
      <c r="P85" s="15" t="n">
        <v>1</v>
      </c>
      <c r="Q85" s="15" t="n">
        <v>4</v>
      </c>
      <c r="R85" s="15" t="inlineStr">
        <is>
          <t>Jan</t>
        </is>
      </c>
      <c r="S85" s="15" t="inlineStr">
        <is>
          <t>Q1</t>
        </is>
      </c>
      <c r="T85" s="15" t="n">
        <v>1</v>
      </c>
      <c r="U85" s="19" t="n">
        <v>0.3613841918993315</v>
      </c>
      <c r="V85" s="15" t="n">
        <v>1</v>
      </c>
    </row>
    <row r="86">
      <c r="A86" s="15" t="inlineStr">
        <is>
          <t>Sub-Saharan Africa</t>
        </is>
      </c>
      <c r="B86" s="15" t="inlineStr">
        <is>
          <t>Kenya</t>
        </is>
      </c>
      <c r="C86" s="15" t="inlineStr">
        <is>
          <t>Vegetables</t>
        </is>
      </c>
      <c r="D86" s="15" t="inlineStr">
        <is>
          <t>Online</t>
        </is>
      </c>
      <c r="E86" s="15" t="inlineStr">
        <is>
          <t>L</t>
        </is>
      </c>
      <c r="F86" s="16" t="n">
        <v>40986</v>
      </c>
      <c r="G86" s="15" t="n">
        <v>827844560</v>
      </c>
      <c r="H86" s="16" t="n">
        <v>41006</v>
      </c>
      <c r="I86" s="17" t="n">
        <v>6457</v>
      </c>
      <c r="J86" s="18" t="n">
        <v>154.06</v>
      </c>
      <c r="K86" s="18" t="n">
        <v>90.93000000000001</v>
      </c>
      <c r="L86" s="18" t="n">
        <v>994765.42</v>
      </c>
      <c r="M86" s="18" t="n">
        <v>587135.01</v>
      </c>
      <c r="N86" s="18" t="n">
        <v>407630.41</v>
      </c>
      <c r="O86" s="15" t="n">
        <v>2012</v>
      </c>
      <c r="P86" s="15" t="n">
        <v>3</v>
      </c>
      <c r="Q86" s="15" t="n">
        <v>18</v>
      </c>
      <c r="R86" s="15" t="inlineStr">
        <is>
          <t>Mar</t>
        </is>
      </c>
      <c r="S86" s="15" t="inlineStr">
        <is>
          <t>Q1</t>
        </is>
      </c>
      <c r="T86" s="15" t="n">
        <v>20</v>
      </c>
      <c r="U86" s="19" t="n">
        <v>0.4097754121770738</v>
      </c>
      <c r="V86" s="15" t="n">
        <v>1</v>
      </c>
    </row>
    <row r="87">
      <c r="A87" s="15" t="inlineStr">
        <is>
          <t>North America</t>
        </is>
      </c>
      <c r="B87" s="15" t="inlineStr">
        <is>
          <t>Mexico</t>
        </is>
      </c>
      <c r="C87" s="15" t="inlineStr">
        <is>
          <t>Personal Care</t>
        </is>
      </c>
      <c r="D87" s="15" t="inlineStr">
        <is>
          <t>Offline</t>
        </is>
      </c>
      <c r="E87" s="15" t="inlineStr">
        <is>
          <t>L</t>
        </is>
      </c>
      <c r="F87" s="16" t="n">
        <v>40956</v>
      </c>
      <c r="G87" s="15" t="n">
        <v>430915820</v>
      </c>
      <c r="H87" s="16" t="n">
        <v>40988</v>
      </c>
      <c r="I87" s="17" t="n">
        <v>6422</v>
      </c>
      <c r="J87" s="18" t="n">
        <v>81.73</v>
      </c>
      <c r="K87" s="18" t="n">
        <v>56.67</v>
      </c>
      <c r="L87" s="18" t="n">
        <v>524870.0600000001</v>
      </c>
      <c r="M87" s="18" t="n">
        <v>363934.74</v>
      </c>
      <c r="N87" s="18" t="n">
        <v>160935.32</v>
      </c>
      <c r="O87" s="15" t="n">
        <v>2012</v>
      </c>
      <c r="P87" s="15" t="n">
        <v>2</v>
      </c>
      <c r="Q87" s="15" t="n">
        <v>17</v>
      </c>
      <c r="R87" s="15" t="inlineStr">
        <is>
          <t>Feb</t>
        </is>
      </c>
      <c r="S87" s="15" t="inlineStr">
        <is>
          <t>Q1</t>
        </is>
      </c>
      <c r="T87" s="15" t="n">
        <v>32</v>
      </c>
      <c r="U87" s="19" t="n">
        <v>0.3066193564174721</v>
      </c>
      <c r="V87" s="15" t="n">
        <v>1</v>
      </c>
    </row>
    <row r="88">
      <c r="A88" s="15" t="inlineStr">
        <is>
          <t>Sub-Saharan Africa</t>
        </is>
      </c>
      <c r="B88" s="15" t="inlineStr">
        <is>
          <t>Sao Tome and Principe</t>
        </is>
      </c>
      <c r="C88" s="15" t="inlineStr">
        <is>
          <t>Beverages</t>
        </is>
      </c>
      <c r="D88" s="15" t="inlineStr">
        <is>
          <t>Offline</t>
        </is>
      </c>
      <c r="E88" s="15" t="inlineStr">
        <is>
          <t>C</t>
        </is>
      </c>
      <c r="F88" s="16" t="n">
        <v>40559</v>
      </c>
      <c r="G88" s="15" t="n">
        <v>180283772</v>
      </c>
      <c r="H88" s="16" t="n">
        <v>40564</v>
      </c>
      <c r="I88" s="17" t="n">
        <v>8829</v>
      </c>
      <c r="J88" s="18" t="n">
        <v>47.45</v>
      </c>
      <c r="K88" s="18" t="n">
        <v>31.79</v>
      </c>
      <c r="L88" s="18" t="n">
        <v>418936.05</v>
      </c>
      <c r="M88" s="18" t="n">
        <v>280673.91</v>
      </c>
      <c r="N88" s="18" t="n">
        <v>138262.14</v>
      </c>
      <c r="O88" s="15" t="n">
        <v>2011</v>
      </c>
      <c r="P88" s="15" t="n">
        <v>1</v>
      </c>
      <c r="Q88" s="15" t="n">
        <v>16</v>
      </c>
      <c r="R88" s="15" t="inlineStr">
        <is>
          <t>Jan</t>
        </is>
      </c>
      <c r="S88" s="15" t="inlineStr">
        <is>
          <t>Q1</t>
        </is>
      </c>
      <c r="T88" s="15" t="n">
        <v>5</v>
      </c>
      <c r="U88" s="19" t="n">
        <v>0.3300316122233931</v>
      </c>
      <c r="V88" s="15" t="n">
        <v>1</v>
      </c>
    </row>
    <row r="89">
      <c r="A89" s="15" t="inlineStr">
        <is>
          <t>Sub-Saharan Africa</t>
        </is>
      </c>
      <c r="B89" s="15" t="inlineStr">
        <is>
          <t>The Gambia</t>
        </is>
      </c>
      <c r="C89" s="15" t="inlineStr">
        <is>
          <t>Baby Food</t>
        </is>
      </c>
      <c r="D89" s="15" t="inlineStr">
        <is>
          <t>Offline</t>
        </is>
      </c>
      <c r="E89" s="15" t="inlineStr">
        <is>
          <t>M</t>
        </is>
      </c>
      <c r="F89" s="16" t="n">
        <v>41673</v>
      </c>
      <c r="G89" s="15" t="n">
        <v>494747245</v>
      </c>
      <c r="H89" s="16" t="n">
        <v>41718</v>
      </c>
      <c r="I89" s="17" t="n">
        <v>5559</v>
      </c>
      <c r="J89" s="18" t="n">
        <v>255.28</v>
      </c>
      <c r="K89" s="18" t="n">
        <v>159.42</v>
      </c>
      <c r="L89" s="18" t="n">
        <v>1419101.52</v>
      </c>
      <c r="M89" s="18" t="n">
        <v>886215.78</v>
      </c>
      <c r="N89" s="18" t="n">
        <v>532885.74</v>
      </c>
      <c r="O89" s="15" t="n">
        <v>2014</v>
      </c>
      <c r="P89" s="15" t="n">
        <v>2</v>
      </c>
      <c r="Q89" s="15" t="n">
        <v>3</v>
      </c>
      <c r="R89" s="15" t="inlineStr">
        <is>
          <t>Feb</t>
        </is>
      </c>
      <c r="S89" s="15" t="inlineStr">
        <is>
          <t>Q1</t>
        </is>
      </c>
      <c r="T89" s="15" t="n">
        <v>45</v>
      </c>
      <c r="U89" s="19" t="n">
        <v>0.3755092447508618</v>
      </c>
      <c r="V89" s="15" t="n">
        <v>1</v>
      </c>
    </row>
    <row r="90">
      <c r="A90" s="15" t="inlineStr">
        <is>
          <t>Middle East and North Africa</t>
        </is>
      </c>
      <c r="B90" s="15" t="inlineStr">
        <is>
          <t>Kuwait</t>
        </is>
      </c>
      <c r="C90" s="15" t="inlineStr">
        <is>
          <t>Fruits</t>
        </is>
      </c>
      <c r="D90" s="15" t="inlineStr">
        <is>
          <t>Online</t>
        </is>
      </c>
      <c r="E90" s="15" t="inlineStr">
        <is>
          <t>M</t>
        </is>
      </c>
      <c r="F90" s="16" t="n">
        <v>41029</v>
      </c>
      <c r="G90" s="15" t="n">
        <v>513417565</v>
      </c>
      <c r="H90" s="16" t="n">
        <v>41047</v>
      </c>
      <c r="I90" s="17" t="n">
        <v>522</v>
      </c>
      <c r="J90" s="18" t="n">
        <v>9.33</v>
      </c>
      <c r="K90" s="18" t="n">
        <v>6.92</v>
      </c>
      <c r="L90" s="18" t="n">
        <v>4870.26</v>
      </c>
      <c r="M90" s="18" t="n">
        <v>3612.24</v>
      </c>
      <c r="N90" s="18" t="n">
        <v>1258.02</v>
      </c>
      <c r="O90" s="15" t="n">
        <v>2012</v>
      </c>
      <c r="P90" s="15" t="n">
        <v>4</v>
      </c>
      <c r="Q90" s="15" t="n">
        <v>30</v>
      </c>
      <c r="R90" s="15" t="inlineStr">
        <is>
          <t>Apr</t>
        </is>
      </c>
      <c r="S90" s="15" t="inlineStr">
        <is>
          <t>Q2</t>
        </is>
      </c>
      <c r="T90" s="15" t="n">
        <v>18</v>
      </c>
      <c r="U90" s="19" t="n">
        <v>0.2583065380493033</v>
      </c>
      <c r="V90" s="15" t="n">
        <v>1</v>
      </c>
    </row>
    <row r="91">
      <c r="A91" s="15" t="inlineStr">
        <is>
          <t>Europe</t>
        </is>
      </c>
      <c r="B91" s="15" t="inlineStr">
        <is>
          <t>Slovenia</t>
        </is>
      </c>
      <c r="C91" s="15" t="inlineStr">
        <is>
          <t>Beverages</t>
        </is>
      </c>
      <c r="D91" s="15" t="inlineStr">
        <is>
          <t>Offline</t>
        </is>
      </c>
      <c r="E91" s="15" t="inlineStr">
        <is>
          <t>C</t>
        </is>
      </c>
      <c r="F91" s="16" t="n">
        <v>42666</v>
      </c>
      <c r="G91" s="15" t="n">
        <v>345718562</v>
      </c>
      <c r="H91" s="16" t="n">
        <v>42699</v>
      </c>
      <c r="I91" s="17" t="n">
        <v>4660</v>
      </c>
      <c r="J91" s="18" t="n">
        <v>47.45</v>
      </c>
      <c r="K91" s="18" t="n">
        <v>31.79</v>
      </c>
      <c r="L91" s="18" t="n">
        <v>221117</v>
      </c>
      <c r="M91" s="18" t="n">
        <v>148141.4</v>
      </c>
      <c r="N91" s="18" t="n">
        <v>72975.60000000001</v>
      </c>
      <c r="O91" s="15" t="n">
        <v>2016</v>
      </c>
      <c r="P91" s="15" t="n">
        <v>10</v>
      </c>
      <c r="Q91" s="15" t="n">
        <v>23</v>
      </c>
      <c r="R91" s="15" t="inlineStr">
        <is>
          <t>Oct</t>
        </is>
      </c>
      <c r="S91" s="15" t="inlineStr">
        <is>
          <t>Q4</t>
        </is>
      </c>
      <c r="T91" s="15" t="n">
        <v>33</v>
      </c>
      <c r="U91" s="19" t="n">
        <v>0.3300316122233931</v>
      </c>
      <c r="V91" s="15" t="n">
        <v>1</v>
      </c>
    </row>
    <row r="92">
      <c r="A92" s="15" t="inlineStr">
        <is>
          <t>Sub-Saharan Africa</t>
        </is>
      </c>
      <c r="B92" s="15" t="inlineStr">
        <is>
          <t>Sierra Leone</t>
        </is>
      </c>
      <c r="C92" s="15" t="inlineStr">
        <is>
          <t>Office Supplies</t>
        </is>
      </c>
      <c r="D92" s="15" t="inlineStr">
        <is>
          <t>Offline</t>
        </is>
      </c>
      <c r="E92" s="15" t="inlineStr">
        <is>
          <t>H</t>
        </is>
      </c>
      <c r="F92" s="16" t="n">
        <v>42710</v>
      </c>
      <c r="G92" s="15" t="n">
        <v>621386563</v>
      </c>
      <c r="H92" s="16" t="n">
        <v>42718</v>
      </c>
      <c r="I92" s="17" t="n">
        <v>948</v>
      </c>
      <c r="J92" s="18" t="n">
        <v>651.21</v>
      </c>
      <c r="K92" s="18" t="n">
        <v>524.96</v>
      </c>
      <c r="L92" s="18" t="n">
        <v>617347.08</v>
      </c>
      <c r="M92" s="18" t="n">
        <v>497662.08</v>
      </c>
      <c r="N92" s="18" t="n">
        <v>119685</v>
      </c>
      <c r="O92" s="15" t="n">
        <v>2016</v>
      </c>
      <c r="P92" s="15" t="n">
        <v>12</v>
      </c>
      <c r="Q92" s="15" t="n">
        <v>6</v>
      </c>
      <c r="R92" s="15" t="inlineStr">
        <is>
          <t>Dec</t>
        </is>
      </c>
      <c r="S92" s="15" t="inlineStr">
        <is>
          <t>Q4</t>
        </is>
      </c>
      <c r="T92" s="15" t="n">
        <v>8</v>
      </c>
      <c r="U92" s="19" t="n">
        <v>0.1938698730056357</v>
      </c>
      <c r="V92" s="15" t="n">
        <v>1</v>
      </c>
    </row>
    <row r="93">
      <c r="A93" s="15" t="inlineStr">
        <is>
          <t>Australia and Oceania</t>
        </is>
      </c>
      <c r="B93" s="15" t="inlineStr">
        <is>
          <t>Australia</t>
        </is>
      </c>
      <c r="C93" s="15" t="inlineStr">
        <is>
          <t>Beverages</t>
        </is>
      </c>
      <c r="D93" s="15" t="inlineStr">
        <is>
          <t>Offline</t>
        </is>
      </c>
      <c r="E93" s="15" t="inlineStr">
        <is>
          <t>H</t>
        </is>
      </c>
      <c r="F93" s="16" t="n">
        <v>41827</v>
      </c>
      <c r="G93" s="15" t="n">
        <v>240470397</v>
      </c>
      <c r="H93" s="16" t="n">
        <v>41831</v>
      </c>
      <c r="I93" s="17" t="n">
        <v>9389</v>
      </c>
      <c r="J93" s="18" t="n">
        <v>47.45</v>
      </c>
      <c r="K93" s="18" t="n">
        <v>31.79</v>
      </c>
      <c r="L93" s="18" t="n">
        <v>445508.05</v>
      </c>
      <c r="M93" s="18" t="n">
        <v>298476.31</v>
      </c>
      <c r="N93" s="18" t="n">
        <v>147031.74</v>
      </c>
      <c r="O93" s="15" t="n">
        <v>2014</v>
      </c>
      <c r="P93" s="15" t="n">
        <v>7</v>
      </c>
      <c r="Q93" s="15" t="n">
        <v>7</v>
      </c>
      <c r="R93" s="15" t="inlineStr">
        <is>
          <t>Jul</t>
        </is>
      </c>
      <c r="S93" s="15" t="inlineStr">
        <is>
          <t>Q3</t>
        </is>
      </c>
      <c r="T93" s="15" t="n">
        <v>4</v>
      </c>
      <c r="U93" s="19" t="n">
        <v>0.3300316122233931</v>
      </c>
      <c r="V93" s="15" t="n">
        <v>1</v>
      </c>
    </row>
    <row r="94">
      <c r="A94" s="15" t="inlineStr">
        <is>
          <t>Middle East and North Africa</t>
        </is>
      </c>
      <c r="B94" s="15" t="inlineStr">
        <is>
          <t>Azerbaijan</t>
        </is>
      </c>
      <c r="C94" s="15" t="inlineStr">
        <is>
          <t>Office Supplies</t>
        </is>
      </c>
      <c r="D94" s="15" t="inlineStr">
        <is>
          <t>Online</t>
        </is>
      </c>
      <c r="E94" s="15" t="inlineStr">
        <is>
          <t>M</t>
        </is>
      </c>
      <c r="F94" s="16" t="n">
        <v>41073</v>
      </c>
      <c r="G94" s="15" t="n">
        <v>423331391</v>
      </c>
      <c r="H94" s="16" t="n">
        <v>41114</v>
      </c>
      <c r="I94" s="17" t="n">
        <v>2021</v>
      </c>
      <c r="J94" s="18" t="n">
        <v>651.21</v>
      </c>
      <c r="K94" s="18" t="n">
        <v>524.96</v>
      </c>
      <c r="L94" s="18" t="n">
        <v>1316095.41</v>
      </c>
      <c r="M94" s="18" t="n">
        <v>1060944.16</v>
      </c>
      <c r="N94" s="18" t="n">
        <v>255151.25</v>
      </c>
      <c r="O94" s="15" t="n">
        <v>2012</v>
      </c>
      <c r="P94" s="15" t="n">
        <v>6</v>
      </c>
      <c r="Q94" s="15" t="n">
        <v>13</v>
      </c>
      <c r="R94" s="15" t="inlineStr">
        <is>
          <t>Jun</t>
        </is>
      </c>
      <c r="S94" s="15" t="inlineStr">
        <is>
          <t>Q2</t>
        </is>
      </c>
      <c r="T94" s="15" t="n">
        <v>41</v>
      </c>
      <c r="U94" s="19" t="n">
        <v>0.1938698730056357</v>
      </c>
      <c r="V94" s="15" t="n">
        <v>1</v>
      </c>
    </row>
    <row r="95">
      <c r="A95" s="15" t="inlineStr">
        <is>
          <t>Europe</t>
        </is>
      </c>
      <c r="B95" s="15" t="inlineStr">
        <is>
          <t>Romania</t>
        </is>
      </c>
      <c r="C95" s="15" t="inlineStr">
        <is>
          <t>Cosmetics</t>
        </is>
      </c>
      <c r="D95" s="15" t="inlineStr">
        <is>
          <t>Online</t>
        </is>
      </c>
      <c r="E95" s="15" t="inlineStr">
        <is>
          <t>H</t>
        </is>
      </c>
      <c r="F95" s="16" t="n">
        <v>40508</v>
      </c>
      <c r="G95" s="15" t="n">
        <v>660643374</v>
      </c>
      <c r="H95" s="16" t="n">
        <v>40537</v>
      </c>
      <c r="I95" s="17" t="n">
        <v>7910</v>
      </c>
      <c r="J95" s="18" t="n">
        <v>437.2</v>
      </c>
      <c r="K95" s="18" t="n">
        <v>263.33</v>
      </c>
      <c r="L95" s="18" t="n">
        <v>3458252</v>
      </c>
      <c r="M95" s="18" t="n">
        <v>2082940.3</v>
      </c>
      <c r="N95" s="18" t="n">
        <v>1375311.7</v>
      </c>
      <c r="O95" s="15" t="n">
        <v>2010</v>
      </c>
      <c r="P95" s="15" t="n">
        <v>11</v>
      </c>
      <c r="Q95" s="15" t="n">
        <v>26</v>
      </c>
      <c r="R95" s="15" t="inlineStr">
        <is>
          <t>Nov</t>
        </is>
      </c>
      <c r="S95" s="15" t="inlineStr">
        <is>
          <t>Q4</t>
        </is>
      </c>
      <c r="T95" s="15" t="n">
        <v>29</v>
      </c>
      <c r="U95" s="19" t="n">
        <v>0.3976898444647758</v>
      </c>
      <c r="V95" s="15" t="n">
        <v>1</v>
      </c>
    </row>
    <row r="96">
      <c r="A96" s="15" t="inlineStr">
        <is>
          <t>Central America and the Caribbean</t>
        </is>
      </c>
      <c r="B96" s="15" t="inlineStr">
        <is>
          <t>Nicaragua</t>
        </is>
      </c>
      <c r="C96" s="15" t="inlineStr">
        <is>
          <t>Beverages</t>
        </is>
      </c>
      <c r="D96" s="15" t="inlineStr">
        <is>
          <t>Offline</t>
        </is>
      </c>
      <c r="E96" s="15" t="inlineStr">
        <is>
          <t>C</t>
        </is>
      </c>
      <c r="F96" s="16" t="n">
        <v>40582</v>
      </c>
      <c r="G96" s="15" t="n">
        <v>963392674</v>
      </c>
      <c r="H96" s="16" t="n">
        <v>40623</v>
      </c>
      <c r="I96" s="17" t="n">
        <v>8156</v>
      </c>
      <c r="J96" s="18" t="n">
        <v>47.45</v>
      </c>
      <c r="K96" s="18" t="n">
        <v>31.79</v>
      </c>
      <c r="L96" s="18" t="n">
        <v>387002.2</v>
      </c>
      <c r="M96" s="18" t="n">
        <v>259279.24</v>
      </c>
      <c r="N96" s="18" t="n">
        <v>127722.96</v>
      </c>
      <c r="O96" s="15" t="n">
        <v>2011</v>
      </c>
      <c r="P96" s="15" t="n">
        <v>2</v>
      </c>
      <c r="Q96" s="15" t="n">
        <v>8</v>
      </c>
      <c r="R96" s="15" t="inlineStr">
        <is>
          <t>Feb</t>
        </is>
      </c>
      <c r="S96" s="15" t="inlineStr">
        <is>
          <t>Q1</t>
        </is>
      </c>
      <c r="T96" s="15" t="n">
        <v>41</v>
      </c>
      <c r="U96" s="19" t="n">
        <v>0.3300316122233931</v>
      </c>
      <c r="V96" s="15" t="n">
        <v>1</v>
      </c>
    </row>
    <row r="97">
      <c r="A97" s="15" t="inlineStr">
        <is>
          <t>Sub-Saharan Africa</t>
        </is>
      </c>
      <c r="B97" s="15" t="inlineStr">
        <is>
          <t>Mali</t>
        </is>
      </c>
      <c r="C97" s="15" t="inlineStr">
        <is>
          <t>Clothes</t>
        </is>
      </c>
      <c r="D97" s="15" t="inlineStr">
        <is>
          <t>Online</t>
        </is>
      </c>
      <c r="E97" s="15" t="inlineStr">
        <is>
          <t>M</t>
        </is>
      </c>
      <c r="F97" s="16" t="n">
        <v>40750</v>
      </c>
      <c r="G97" s="15" t="n">
        <v>512878119</v>
      </c>
      <c r="H97" s="16" t="n">
        <v>40789</v>
      </c>
      <c r="I97" s="17" t="n">
        <v>888</v>
      </c>
      <c r="J97" s="18" t="n">
        <v>109.28</v>
      </c>
      <c r="K97" s="18" t="n">
        <v>35.84</v>
      </c>
      <c r="L97" s="18" t="n">
        <v>97040.64</v>
      </c>
      <c r="M97" s="18" t="n">
        <v>31825.92</v>
      </c>
      <c r="N97" s="18" t="n">
        <v>65214.72</v>
      </c>
      <c r="O97" s="15" t="n">
        <v>2011</v>
      </c>
      <c r="P97" s="15" t="n">
        <v>7</v>
      </c>
      <c r="Q97" s="15" t="n">
        <v>26</v>
      </c>
      <c r="R97" s="15" t="inlineStr">
        <is>
          <t>Jul</t>
        </is>
      </c>
      <c r="S97" s="15" t="inlineStr">
        <is>
          <t>Q3</t>
        </is>
      </c>
      <c r="T97" s="15" t="n">
        <v>39</v>
      </c>
      <c r="U97" s="19" t="n">
        <v>0.6720351390922401</v>
      </c>
      <c r="V97" s="15" t="n">
        <v>1</v>
      </c>
    </row>
    <row r="98">
      <c r="A98" s="15" t="inlineStr">
        <is>
          <t>Asia</t>
        </is>
      </c>
      <c r="B98" s="15" t="inlineStr">
        <is>
          <t>Malaysia</t>
        </is>
      </c>
      <c r="C98" s="15" t="inlineStr">
        <is>
          <t>Fruits</t>
        </is>
      </c>
      <c r="D98" s="15" t="inlineStr">
        <is>
          <t>Offline</t>
        </is>
      </c>
      <c r="E98" s="15" t="inlineStr">
        <is>
          <t>L</t>
        </is>
      </c>
      <c r="F98" s="16" t="n">
        <v>40858</v>
      </c>
      <c r="G98" s="15" t="n">
        <v>810711038</v>
      </c>
      <c r="H98" s="16" t="n">
        <v>40905</v>
      </c>
      <c r="I98" s="17" t="n">
        <v>6267</v>
      </c>
      <c r="J98" s="18" t="n">
        <v>9.33</v>
      </c>
      <c r="K98" s="18" t="n">
        <v>6.92</v>
      </c>
      <c r="L98" s="18" t="n">
        <v>58471.11</v>
      </c>
      <c r="M98" s="18" t="n">
        <v>43367.64</v>
      </c>
      <c r="N98" s="18" t="n">
        <v>15103.47</v>
      </c>
      <c r="O98" s="15" t="n">
        <v>2011</v>
      </c>
      <c r="P98" s="15" t="n">
        <v>11</v>
      </c>
      <c r="Q98" s="15" t="n">
        <v>11</v>
      </c>
      <c r="R98" s="15" t="inlineStr">
        <is>
          <t>Nov</t>
        </is>
      </c>
      <c r="S98" s="15" t="inlineStr">
        <is>
          <t>Q4</t>
        </is>
      </c>
      <c r="T98" s="15" t="n">
        <v>47</v>
      </c>
      <c r="U98" s="19" t="n">
        <v>0.2583065380493033</v>
      </c>
      <c r="V98" s="15" t="n">
        <v>1</v>
      </c>
    </row>
    <row r="99">
      <c r="A99" s="15" t="inlineStr">
        <is>
          <t>Sub-Saharan Africa</t>
        </is>
      </c>
      <c r="B99" s="15" t="inlineStr">
        <is>
          <t>Sierra Leone</t>
        </is>
      </c>
      <c r="C99" s="15" t="inlineStr">
        <is>
          <t>Vegetables</t>
        </is>
      </c>
      <c r="D99" s="15" t="inlineStr">
        <is>
          <t>Offline</t>
        </is>
      </c>
      <c r="E99" s="15" t="inlineStr">
        <is>
          <t>C</t>
        </is>
      </c>
      <c r="F99" s="16" t="n">
        <v>42522</v>
      </c>
      <c r="G99" s="15" t="n">
        <v>728815257</v>
      </c>
      <c r="H99" s="16" t="n">
        <v>42550</v>
      </c>
      <c r="I99" s="17" t="n">
        <v>1485</v>
      </c>
      <c r="J99" s="18" t="n">
        <v>154.06</v>
      </c>
      <c r="K99" s="18" t="n">
        <v>90.93000000000001</v>
      </c>
      <c r="L99" s="18" t="n">
        <v>228779.1</v>
      </c>
      <c r="M99" s="18" t="n">
        <v>135031.05</v>
      </c>
      <c r="N99" s="18" t="n">
        <v>93748.05</v>
      </c>
      <c r="O99" s="15" t="n">
        <v>2016</v>
      </c>
      <c r="P99" s="15" t="n">
        <v>6</v>
      </c>
      <c r="Q99" s="15" t="n">
        <v>1</v>
      </c>
      <c r="R99" s="15" t="inlineStr">
        <is>
          <t>Jun</t>
        </is>
      </c>
      <c r="S99" s="15" t="inlineStr">
        <is>
          <t>Q2</t>
        </is>
      </c>
      <c r="T99" s="15" t="n">
        <v>28</v>
      </c>
      <c r="U99" s="19" t="n">
        <v>0.4097754121770739</v>
      </c>
      <c r="V99" s="15" t="n">
        <v>1</v>
      </c>
    </row>
    <row r="100">
      <c r="A100" s="15" t="inlineStr">
        <is>
          <t>North America</t>
        </is>
      </c>
      <c r="B100" s="15" t="inlineStr">
        <is>
          <t>Mexico</t>
        </is>
      </c>
      <c r="C100" s="15" t="inlineStr">
        <is>
          <t>Personal Care</t>
        </is>
      </c>
      <c r="D100" s="15" t="inlineStr">
        <is>
          <t>Offline</t>
        </is>
      </c>
      <c r="E100" s="15" t="inlineStr">
        <is>
          <t>M</t>
        </is>
      </c>
      <c r="F100" s="16" t="n">
        <v>42215</v>
      </c>
      <c r="G100" s="15" t="n">
        <v>559427106</v>
      </c>
      <c r="H100" s="16" t="n">
        <v>42224</v>
      </c>
      <c r="I100" s="17" t="n">
        <v>5767</v>
      </c>
      <c r="J100" s="18" t="n">
        <v>81.73</v>
      </c>
      <c r="K100" s="18" t="n">
        <v>56.67</v>
      </c>
      <c r="L100" s="18" t="n">
        <v>471336.91</v>
      </c>
      <c r="M100" s="18" t="n">
        <v>326815.89</v>
      </c>
      <c r="N100" s="18" t="n">
        <v>144521.02</v>
      </c>
      <c r="O100" s="15" t="n">
        <v>2015</v>
      </c>
      <c r="P100" s="15" t="n">
        <v>7</v>
      </c>
      <c r="Q100" s="15" t="n">
        <v>30</v>
      </c>
      <c r="R100" s="15" t="inlineStr">
        <is>
          <t>Jul</t>
        </is>
      </c>
      <c r="S100" s="15" t="inlineStr">
        <is>
          <t>Q3</t>
        </is>
      </c>
      <c r="T100" s="15" t="n">
        <v>9</v>
      </c>
      <c r="U100" s="19" t="n">
        <v>0.3066193564174722</v>
      </c>
      <c r="V100" s="15" t="n">
        <v>1</v>
      </c>
    </row>
    <row r="101">
      <c r="A101" s="15" t="inlineStr">
        <is>
          <t>Sub-Saharan Africa</t>
        </is>
      </c>
      <c r="B101" s="15" t="inlineStr">
        <is>
          <t>Mozambique</t>
        </is>
      </c>
      <c r="C101" s="15" t="inlineStr">
        <is>
          <t>Household</t>
        </is>
      </c>
      <c r="D101" s="15" t="inlineStr">
        <is>
          <t>Offline</t>
        </is>
      </c>
      <c r="E101" s="15" t="inlineStr">
        <is>
          <t>L</t>
        </is>
      </c>
      <c r="F101" s="16" t="n">
        <v>40949</v>
      </c>
      <c r="G101" s="15" t="n">
        <v>665095412</v>
      </c>
      <c r="H101" s="16" t="n">
        <v>40954</v>
      </c>
      <c r="I101" s="17" t="n">
        <v>5367</v>
      </c>
      <c r="J101" s="18" t="n">
        <v>668.27</v>
      </c>
      <c r="K101" s="18" t="n">
        <v>502.54</v>
      </c>
      <c r="L101" s="18" t="n">
        <v>3586605.09</v>
      </c>
      <c r="M101" s="18" t="n">
        <v>2697132.18</v>
      </c>
      <c r="N101" s="18" t="n">
        <v>889472.91</v>
      </c>
      <c r="O101" s="15" t="n">
        <v>2012</v>
      </c>
      <c r="P101" s="15" t="n">
        <v>2</v>
      </c>
      <c r="Q101" s="15" t="n">
        <v>10</v>
      </c>
      <c r="R101" s="15" t="inlineStr">
        <is>
          <t>Feb</t>
        </is>
      </c>
      <c r="S101" s="15" t="inlineStr">
        <is>
          <t>Q1</t>
        </is>
      </c>
      <c r="T101" s="15" t="n">
        <v>5</v>
      </c>
      <c r="U101" s="19" t="n">
        <v>0.247998563454891</v>
      </c>
      <c r="V101" s="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9" customWidth="1" min="3" max="3"/>
    <col width="11" customWidth="1" min="4" max="4"/>
    <col width="11" customWidth="1" min="5" max="5"/>
    <col width="20" customWidth="1" min="6" max="6"/>
  </cols>
  <sheetData>
    <row r="1" ht="24" customHeight="1">
      <c r="A1" s="11" t="inlineStr">
        <is>
          <t>Region</t>
        </is>
      </c>
      <c r="B1" s="13" t="inlineStr">
        <is>
          <t>Revenue</t>
        </is>
      </c>
      <c r="C1" s="13" t="inlineStr">
        <is>
          <t>Profit</t>
        </is>
      </c>
      <c r="D1" s="12" t="inlineStr">
        <is>
          <t>Units</t>
        </is>
      </c>
      <c r="E1" s="12" t="inlineStr">
        <is>
          <t>Orders</t>
        </is>
      </c>
      <c r="F1" s="14" t="inlineStr">
        <is>
          <t>Margin %</t>
        </is>
      </c>
    </row>
    <row r="2">
      <c r="A2" s="15" t="inlineStr">
        <is>
          <t>Asia</t>
        </is>
      </c>
      <c r="B2" s="18" t="n">
        <v>21347091.02</v>
      </c>
      <c r="C2" s="18" t="n">
        <v>6113845.87</v>
      </c>
      <c r="D2" s="17" t="n">
        <v>59967</v>
      </c>
      <c r="E2" s="17" t="n">
        <v>11</v>
      </c>
      <c r="F2" s="19" t="n">
        <v>0.2864018270345109</v>
      </c>
    </row>
    <row r="3">
      <c r="A3" s="15" t="inlineStr">
        <is>
          <t>Australia and Oceania</t>
        </is>
      </c>
      <c r="B3" s="18" t="n">
        <v>14094265.13</v>
      </c>
      <c r="C3" s="18" t="n">
        <v>4722160.03</v>
      </c>
      <c r="D3" s="17" t="n">
        <v>68325</v>
      </c>
      <c r="E3" s="17" t="n">
        <v>11</v>
      </c>
      <c r="F3" s="19" t="n">
        <v>0.3350412374426506</v>
      </c>
    </row>
    <row r="4">
      <c r="A4" s="15" t="inlineStr">
        <is>
          <t>Central America and the Caribbean</t>
        </is>
      </c>
      <c r="B4" s="18" t="n">
        <v>9170385.49</v>
      </c>
      <c r="C4" s="18" t="n">
        <v>2846907.85</v>
      </c>
      <c r="D4" s="17" t="n">
        <v>35771</v>
      </c>
      <c r="E4" s="17" t="n">
        <v>7</v>
      </c>
      <c r="F4" s="19" t="n">
        <v>0.3104458207459717</v>
      </c>
    </row>
    <row r="5">
      <c r="A5" s="15" t="inlineStr">
        <is>
          <t>Europe</t>
        </is>
      </c>
      <c r="B5" s="18" t="n">
        <v>33368932.11</v>
      </c>
      <c r="C5" s="18" t="n">
        <v>11082938.63</v>
      </c>
      <c r="D5" s="17" t="n">
        <v>98117</v>
      </c>
      <c r="E5" s="17" t="n">
        <v>22</v>
      </c>
      <c r="F5" s="19" t="n">
        <v>0.3321334525619616</v>
      </c>
    </row>
    <row r="6">
      <c r="A6" s="15" t="inlineStr">
        <is>
          <t>Middle East and North Africa</t>
        </is>
      </c>
      <c r="B6" s="18" t="n">
        <v>14052706.58</v>
      </c>
      <c r="C6" s="18" t="n">
        <v>5761191.859999999</v>
      </c>
      <c r="D6" s="17" t="n">
        <v>48678</v>
      </c>
      <c r="E6" s="17" t="n">
        <v>10</v>
      </c>
      <c r="F6" s="19" t="n">
        <v>0.4099702663826629</v>
      </c>
    </row>
    <row r="7">
      <c r="A7" s="15" t="inlineStr">
        <is>
          <t>North America</t>
        </is>
      </c>
      <c r="B7" s="18" t="n">
        <v>5643356.55</v>
      </c>
      <c r="C7" s="18" t="n">
        <v>1457942.76</v>
      </c>
      <c r="D7" s="17" t="n">
        <v>19143</v>
      </c>
      <c r="E7" s="17" t="n">
        <v>3</v>
      </c>
      <c r="F7" s="19" t="n">
        <v>0.2583467386975576</v>
      </c>
    </row>
    <row r="8">
      <c r="A8" s="15" t="inlineStr">
        <is>
          <t>Sub-Saharan Africa</t>
        </is>
      </c>
      <c r="B8" s="18" t="n">
        <v>39672031.43</v>
      </c>
      <c r="C8" s="18" t="n">
        <v>12183211.4</v>
      </c>
      <c r="D8" s="17" t="n">
        <v>182870</v>
      </c>
      <c r="E8" s="17" t="n">
        <v>36</v>
      </c>
      <c r="F8" s="19" t="n">
        <v>0.3070982493421563</v>
      </c>
    </row>
  </sheetData>
  <conditionalFormatting sqref="B2:B8">
    <cfRule type="dataBar" priority="1">
      <dataBar showValue="1">
        <cfvo type="min"/>
        <cfvo type="max"/>
        <color rgb="005B9BD5"/>
      </dataBar>
    </cfRule>
  </conditionalFormatting>
  <conditionalFormatting sqref="C2:C8">
    <cfRule type="dataBar" priority="2">
      <dataBar showValue="1">
        <cfvo type="min"/>
        <cfvo type="max"/>
        <color rgb="005B9BD5"/>
      </dataBar>
    </cfRule>
  </conditionalFormatting>
  <conditionalFormatting sqref="D2:D8">
    <cfRule type="dataBar" priority="3">
      <dataBar showValue="1">
        <cfvo type="min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1" customWidth="1" min="4" max="4"/>
    <col width="11" customWidth="1" min="5" max="5"/>
    <col width="20" customWidth="1" min="6" max="6"/>
  </cols>
  <sheetData>
    <row r="1" ht="24" customHeight="1">
      <c r="A1" s="11" t="inlineStr">
        <is>
          <t>Item Type</t>
        </is>
      </c>
      <c r="B1" s="13" t="inlineStr">
        <is>
          <t>Revenue</t>
        </is>
      </c>
      <c r="C1" s="13" t="inlineStr">
        <is>
          <t>Profit</t>
        </is>
      </c>
      <c r="D1" s="12" t="inlineStr">
        <is>
          <t>Units</t>
        </is>
      </c>
      <c r="E1" s="12" t="inlineStr">
        <is>
          <t>Orders</t>
        </is>
      </c>
      <c r="F1" s="14" t="inlineStr">
        <is>
          <t>Margin %</t>
        </is>
      </c>
    </row>
    <row r="2">
      <c r="A2" s="15" t="inlineStr">
        <is>
          <t>Baby Food</t>
        </is>
      </c>
      <c r="B2" s="18" t="n">
        <v>10350327.6</v>
      </c>
      <c r="C2" s="18" t="n">
        <v>3886643.7</v>
      </c>
      <c r="D2" s="17" t="n">
        <v>40545</v>
      </c>
      <c r="E2" s="17" t="n">
        <v>7</v>
      </c>
      <c r="F2" s="19" t="n">
        <v>0.3755092447508618</v>
      </c>
    </row>
    <row r="3">
      <c r="A3" s="15" t="inlineStr">
        <is>
          <t>Beverages</t>
        </is>
      </c>
      <c r="B3" s="18" t="n">
        <v>2690794.6</v>
      </c>
      <c r="C3" s="18" t="n">
        <v>888047.28</v>
      </c>
      <c r="D3" s="17" t="n">
        <v>56708</v>
      </c>
      <c r="E3" s="17" t="n">
        <v>8</v>
      </c>
      <c r="F3" s="19" t="n">
        <v>0.3300316122233931</v>
      </c>
    </row>
    <row r="4">
      <c r="A4" s="15" t="inlineStr">
        <is>
          <t>Cereal</t>
        </is>
      </c>
      <c r="B4" s="18" t="n">
        <v>5322898.9</v>
      </c>
      <c r="C4" s="18" t="n">
        <v>2292443.43</v>
      </c>
      <c r="D4" s="17" t="n">
        <v>25877</v>
      </c>
      <c r="E4" s="17" t="n">
        <v>7</v>
      </c>
      <c r="F4" s="19" t="n">
        <v>0.4306757413709285</v>
      </c>
    </row>
    <row r="5">
      <c r="A5" s="15" t="inlineStr">
        <is>
          <t>Clothes</t>
        </is>
      </c>
      <c r="B5" s="18" t="n">
        <v>7787292.8</v>
      </c>
      <c r="C5" s="18" t="n">
        <v>5233334.399999999</v>
      </c>
      <c r="D5" s="17" t="n">
        <v>71260</v>
      </c>
      <c r="E5" s="17" t="n">
        <v>13</v>
      </c>
      <c r="F5" s="19" t="n">
        <v>0.6720351390922401</v>
      </c>
    </row>
    <row r="6">
      <c r="A6" s="15" t="inlineStr">
        <is>
          <t>Cosmetics</t>
        </is>
      </c>
      <c r="B6" s="18" t="n">
        <v>36601509.6</v>
      </c>
      <c r="C6" s="18" t="n">
        <v>14556048.66</v>
      </c>
      <c r="D6" s="17" t="n">
        <v>83718</v>
      </c>
      <c r="E6" s="17" t="n">
        <v>13</v>
      </c>
      <c r="F6" s="19" t="n">
        <v>0.3976898444647758</v>
      </c>
    </row>
    <row r="7">
      <c r="A7" s="15" t="inlineStr">
        <is>
          <t>Fruits</t>
        </is>
      </c>
      <c r="B7" s="18" t="n">
        <v>466481.34</v>
      </c>
      <c r="C7" s="18" t="n">
        <v>120495.18</v>
      </c>
      <c r="D7" s="17" t="n">
        <v>49998</v>
      </c>
      <c r="E7" s="17" t="n">
        <v>10</v>
      </c>
      <c r="F7" s="19" t="n">
        <v>0.2583065380493033</v>
      </c>
    </row>
    <row r="8">
      <c r="A8" s="15" t="inlineStr">
        <is>
          <t>Household</t>
        </is>
      </c>
      <c r="B8" s="18" t="n">
        <v>29889712.29</v>
      </c>
      <c r="C8" s="18" t="n">
        <v>7412605.71</v>
      </c>
      <c r="D8" s="17" t="n">
        <v>44727</v>
      </c>
      <c r="E8" s="17" t="n">
        <v>9</v>
      </c>
      <c r="F8" s="19" t="n">
        <v>0.247998563454891</v>
      </c>
    </row>
    <row r="9">
      <c r="A9" s="15" t="inlineStr">
        <is>
          <t>Meat</t>
        </is>
      </c>
      <c r="B9" s="18" t="n">
        <v>4503675.75</v>
      </c>
      <c r="C9" s="18" t="n">
        <v>610610</v>
      </c>
      <c r="D9" s="17" t="n">
        <v>10675</v>
      </c>
      <c r="E9" s="17" t="n">
        <v>2</v>
      </c>
      <c r="F9" s="19" t="n">
        <v>0.1355803645500012</v>
      </c>
    </row>
    <row r="10">
      <c r="A10" s="15" t="inlineStr">
        <is>
          <t>Office Supplies</t>
        </is>
      </c>
      <c r="B10" s="18" t="n">
        <v>30585380.07</v>
      </c>
      <c r="C10" s="18" t="n">
        <v>5929583.75</v>
      </c>
      <c r="D10" s="17" t="n">
        <v>46967</v>
      </c>
      <c r="E10" s="17" t="n">
        <v>12</v>
      </c>
      <c r="F10" s="19" t="n">
        <v>0.1938698730056357</v>
      </c>
    </row>
    <row r="11">
      <c r="A11" s="15" t="inlineStr">
        <is>
          <t>Personal Care</t>
        </is>
      </c>
      <c r="B11" s="18" t="n">
        <v>3980904.84</v>
      </c>
      <c r="C11" s="18" t="n">
        <v>1220622.48</v>
      </c>
      <c r="D11" s="17" t="n">
        <v>48708</v>
      </c>
      <c r="E11" s="17" t="n">
        <v>10</v>
      </c>
      <c r="F11" s="19" t="n">
        <v>0.3066193564174722</v>
      </c>
    </row>
    <row r="12">
      <c r="A12" s="15" t="inlineStr">
        <is>
          <t>Snacks</t>
        </is>
      </c>
      <c r="B12" s="18" t="n">
        <v>2080733.46</v>
      </c>
      <c r="C12" s="18" t="n">
        <v>751944.1800000001</v>
      </c>
      <c r="D12" s="17" t="n">
        <v>13637</v>
      </c>
      <c r="E12" s="17" t="n">
        <v>3</v>
      </c>
      <c r="F12" s="19" t="n">
        <v>0.3613841918993315</v>
      </c>
    </row>
    <row r="13">
      <c r="A13" s="15" t="inlineStr">
        <is>
          <t>Vegetables</t>
        </is>
      </c>
      <c r="B13" s="18" t="n">
        <v>3089057.06</v>
      </c>
      <c r="C13" s="18" t="n">
        <v>1265819.63</v>
      </c>
      <c r="D13" s="17" t="n">
        <v>20051</v>
      </c>
      <c r="E13" s="17" t="n">
        <v>6</v>
      </c>
      <c r="F13" s="19" t="n">
        <v>0.4097754121770738</v>
      </c>
    </row>
  </sheetData>
  <conditionalFormatting sqref="B2:B13">
    <cfRule type="dataBar" priority="1">
      <dataBar showValue="1">
        <cfvo type="min"/>
        <cfvo type="max"/>
        <color rgb="005B9BD5"/>
      </dataBar>
    </cfRule>
  </conditionalFormatting>
  <conditionalFormatting sqref="C2:C13">
    <cfRule type="dataBar" priority="2">
      <dataBar showValue="1">
        <cfvo type="min"/>
        <cfvo type="max"/>
        <color rgb="005B9BD5"/>
      </dataBar>
    </cfRule>
  </conditionalFormatting>
  <conditionalFormatting sqref="D2:D13">
    <cfRule type="dataBar" priority="3">
      <dataBar showValue="1">
        <cfvo type="min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1" customWidth="1" min="4" max="4"/>
    <col width="11" customWidth="1" min="5" max="5"/>
    <col width="20" customWidth="1" min="6" max="6"/>
  </cols>
  <sheetData>
    <row r="1" ht="24" customHeight="1">
      <c r="A1" s="11" t="inlineStr">
        <is>
          <t>Sales Channel</t>
        </is>
      </c>
      <c r="B1" s="13" t="inlineStr">
        <is>
          <t>Revenue</t>
        </is>
      </c>
      <c r="C1" s="13" t="inlineStr">
        <is>
          <t>Profit</t>
        </is>
      </c>
      <c r="D1" s="12" t="inlineStr">
        <is>
          <t>Units</t>
        </is>
      </c>
      <c r="E1" s="12" t="inlineStr">
        <is>
          <t>Orders</t>
        </is>
      </c>
      <c r="F1" s="14" t="inlineStr">
        <is>
          <t>Margin %</t>
        </is>
      </c>
    </row>
    <row r="2">
      <c r="A2" s="15" t="inlineStr">
        <is>
          <t>Offline</t>
        </is>
      </c>
      <c r="B2" s="18" t="n">
        <v>79094809.2</v>
      </c>
      <c r="C2" s="18" t="n">
        <v>24920726.67</v>
      </c>
      <c r="D2" s="17" t="n">
        <v>276782</v>
      </c>
      <c r="E2" s="17" t="n">
        <v>50</v>
      </c>
      <c r="F2" s="19" t="n">
        <v>0.3150741107040941</v>
      </c>
    </row>
    <row r="3">
      <c r="A3" s="15" t="inlineStr">
        <is>
          <t>Online</t>
        </is>
      </c>
      <c r="B3" s="18" t="n">
        <v>58253959.11</v>
      </c>
      <c r="C3" s="18" t="n">
        <v>19247471.73</v>
      </c>
      <c r="D3" s="17" t="n">
        <v>236089</v>
      </c>
      <c r="E3" s="17" t="n">
        <v>50</v>
      </c>
      <c r="F3" s="19" t="n">
        <v>0.330406242323467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20" customWidth="1" min="6" max="6"/>
  </cols>
  <sheetData>
    <row r="1" ht="24" customHeight="1">
      <c r="A1" s="11" t="inlineStr">
        <is>
          <t>Year</t>
        </is>
      </c>
      <c r="B1" s="13" t="inlineStr">
        <is>
          <t>Revenue</t>
        </is>
      </c>
      <c r="C1" s="13" t="inlineStr">
        <is>
          <t>Profit</t>
        </is>
      </c>
      <c r="D1" s="12" t="inlineStr">
        <is>
          <t>Units</t>
        </is>
      </c>
      <c r="E1" s="12" t="inlineStr">
        <is>
          <t>Orders</t>
        </is>
      </c>
      <c r="F1" s="14" t="inlineStr">
        <is>
          <t>Margin %</t>
        </is>
      </c>
    </row>
    <row r="2">
      <c r="A2" s="15" t="n">
        <v>2010</v>
      </c>
      <c r="B2" s="18" t="n">
        <v>19186024.92</v>
      </c>
      <c r="C2" s="18" t="n">
        <v>6629567.43</v>
      </c>
      <c r="D2" s="17" t="n">
        <v>61571</v>
      </c>
      <c r="E2" s="17" t="n">
        <v>10</v>
      </c>
      <c r="F2" s="19" t="n">
        <v>0.3455414791570072</v>
      </c>
    </row>
    <row r="3">
      <c r="A3" s="15" t="n">
        <v>2011</v>
      </c>
      <c r="B3" s="18" t="n">
        <v>11129166.07</v>
      </c>
      <c r="C3" s="18" t="n">
        <v>2741008.23</v>
      </c>
      <c r="D3" s="17" t="n">
        <v>54768</v>
      </c>
      <c r="E3" s="17" t="n">
        <v>12</v>
      </c>
      <c r="F3" s="19" t="n">
        <v>0.2462905318116077</v>
      </c>
    </row>
    <row r="4">
      <c r="A4" s="15" t="n">
        <v>2012</v>
      </c>
      <c r="B4" s="18" t="n">
        <v>31898644.52</v>
      </c>
      <c r="C4" s="18" t="n">
        <v>9213010.119999999</v>
      </c>
      <c r="D4" s="17" t="n">
        <v>97967</v>
      </c>
      <c r="E4" s="17" t="n">
        <v>22</v>
      </c>
      <c r="F4" s="19" t="n">
        <v>0.28882136713438</v>
      </c>
    </row>
    <row r="5">
      <c r="A5" s="15" t="n">
        <v>2013</v>
      </c>
      <c r="B5" s="18" t="n">
        <v>20330448.66</v>
      </c>
      <c r="C5" s="18" t="n">
        <v>6715420.04</v>
      </c>
      <c r="D5" s="17" t="n">
        <v>64663</v>
      </c>
      <c r="E5" s="17" t="n">
        <v>12</v>
      </c>
      <c r="F5" s="19" t="n">
        <v>0.3303134206384996</v>
      </c>
    </row>
    <row r="6">
      <c r="A6" s="15" t="n">
        <v>2014</v>
      </c>
      <c r="B6" s="18" t="n">
        <v>16630214.43</v>
      </c>
      <c r="C6" s="18" t="n">
        <v>5879461.68</v>
      </c>
      <c r="D6" s="17" t="n">
        <v>92040</v>
      </c>
      <c r="E6" s="17" t="n">
        <v>15</v>
      </c>
      <c r="F6" s="19" t="n">
        <v>0.3535409422859739</v>
      </c>
    </row>
    <row r="7">
      <c r="A7" s="15" t="n">
        <v>2015</v>
      </c>
      <c r="B7" s="18" t="n">
        <v>12427982.86</v>
      </c>
      <c r="C7" s="18" t="n">
        <v>3996539.44</v>
      </c>
      <c r="D7" s="17" t="n">
        <v>49480</v>
      </c>
      <c r="E7" s="17" t="n">
        <v>11</v>
      </c>
      <c r="F7" s="19" t="n">
        <v>0.3215758731743214</v>
      </c>
    </row>
    <row r="8">
      <c r="A8" s="15" t="n">
        <v>2016</v>
      </c>
      <c r="B8" s="18" t="n">
        <v>12372867.22</v>
      </c>
      <c r="C8" s="18" t="n">
        <v>4903838.01</v>
      </c>
      <c r="D8" s="17" t="n">
        <v>43156</v>
      </c>
      <c r="E8" s="17" t="n">
        <v>10</v>
      </c>
      <c r="F8" s="19" t="n">
        <v>0.3963380454025434</v>
      </c>
    </row>
    <row r="9">
      <c r="A9" s="15" t="n">
        <v>2017</v>
      </c>
      <c r="B9" s="18" t="n">
        <v>13373419.63</v>
      </c>
      <c r="C9" s="18" t="n">
        <v>4089353.45</v>
      </c>
      <c r="D9" s="17" t="n">
        <v>49226</v>
      </c>
      <c r="E9" s="17" t="n">
        <v>8</v>
      </c>
      <c r="F9" s="19" t="n">
        <v>0.3057821831019596</v>
      </c>
    </row>
  </sheetData>
  <conditionalFormatting sqref="B2:B9">
    <cfRule type="dataBar" priority="1">
      <dataBar showValue="1">
        <cfvo type="min"/>
        <cfvo type="max"/>
        <color rgb="005B9BD5"/>
      </dataBar>
    </cfRule>
  </conditionalFormatting>
  <conditionalFormatting sqref="C2:C9">
    <cfRule type="dataBar" priority="2">
      <dataBar showValue="1">
        <cfvo type="min"/>
        <cfvo type="max"/>
        <color rgb="005B9BD5"/>
      </dataBar>
    </cfRule>
  </conditionalFormatting>
  <conditionalFormatting sqref="D2:D9">
    <cfRule type="dataBar" priority="3">
      <dataBar showValue="1">
        <cfvo type="min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9" customWidth="1" min="4" max="4"/>
    <col width="12" customWidth="1" min="5" max="5"/>
    <col width="11" customWidth="1" min="6" max="6"/>
  </cols>
  <sheetData>
    <row r="1" ht="24" customHeight="1">
      <c r="A1" s="11" t="inlineStr">
        <is>
          <t>Year</t>
        </is>
      </c>
      <c r="B1" s="11" t="inlineStr">
        <is>
          <t>Month</t>
        </is>
      </c>
      <c r="C1" s="11" t="inlineStr">
        <is>
          <t>Month Name</t>
        </is>
      </c>
      <c r="D1" s="13" t="inlineStr">
        <is>
          <t>Revenue</t>
        </is>
      </c>
      <c r="E1" s="13" t="inlineStr">
        <is>
          <t>Profit</t>
        </is>
      </c>
      <c r="F1" s="12" t="inlineStr">
        <is>
          <t>Units</t>
        </is>
      </c>
    </row>
    <row r="2">
      <c r="A2" s="15" t="n">
        <v>2010</v>
      </c>
      <c r="B2" s="15" t="n">
        <v>2</v>
      </c>
      <c r="C2" s="15" t="inlineStr">
        <is>
          <t>Feb</t>
        </is>
      </c>
      <c r="D2" s="18" t="n">
        <v>3410661.12</v>
      </c>
      <c r="E2" s="18" t="n">
        <v>1424410.94</v>
      </c>
      <c r="F2" s="17" t="n">
        <v>9503</v>
      </c>
    </row>
    <row r="3">
      <c r="A3" s="15" t="n">
        <v>2010</v>
      </c>
      <c r="B3" s="15" t="n">
        <v>5</v>
      </c>
      <c r="C3" s="15" t="inlineStr">
        <is>
          <t>May</t>
        </is>
      </c>
      <c r="D3" s="18" t="n">
        <v>2587973.26</v>
      </c>
      <c r="E3" s="18" t="n">
        <v>965441.52</v>
      </c>
      <c r="F3" s="17" t="n">
        <v>15747</v>
      </c>
    </row>
    <row r="4">
      <c r="A4" s="15" t="n">
        <v>2010</v>
      </c>
      <c r="B4" s="15" t="n">
        <v>6</v>
      </c>
      <c r="C4" s="15" t="inlineStr">
        <is>
          <t>Jun</t>
        </is>
      </c>
      <c r="D4" s="18" t="n">
        <v>1082418.4</v>
      </c>
      <c r="E4" s="18" t="n">
        <v>727423.2</v>
      </c>
      <c r="F4" s="17" t="n">
        <v>9905</v>
      </c>
    </row>
    <row r="5">
      <c r="A5" s="15" t="n">
        <v>2010</v>
      </c>
      <c r="B5" s="15" t="n">
        <v>10</v>
      </c>
      <c r="C5" s="15" t="inlineStr">
        <is>
          <t>Oct</t>
        </is>
      </c>
      <c r="D5" s="18" t="n">
        <v>6064933.75</v>
      </c>
      <c r="E5" s="18" t="n">
        <v>1495392.79</v>
      </c>
      <c r="F5" s="17" t="n">
        <v>14403</v>
      </c>
    </row>
    <row r="6">
      <c r="A6" s="15" t="n">
        <v>2010</v>
      </c>
      <c r="B6" s="15" t="n">
        <v>11</v>
      </c>
      <c r="C6" s="15" t="inlineStr">
        <is>
          <t>Nov</t>
        </is>
      </c>
      <c r="D6" s="18" t="n">
        <v>3458252</v>
      </c>
      <c r="E6" s="18" t="n">
        <v>1375311.7</v>
      </c>
      <c r="F6" s="17" t="n">
        <v>7910</v>
      </c>
    </row>
    <row r="7">
      <c r="A7" s="15" t="n">
        <v>2010</v>
      </c>
      <c r="B7" s="15" t="n">
        <v>12</v>
      </c>
      <c r="C7" s="15" t="inlineStr">
        <is>
          <t>Dec</t>
        </is>
      </c>
      <c r="D7" s="18" t="n">
        <v>2581786.39</v>
      </c>
      <c r="E7" s="18" t="n">
        <v>641587.28</v>
      </c>
      <c r="F7" s="17" t="n">
        <v>4103</v>
      </c>
    </row>
    <row r="8">
      <c r="A8" s="15" t="n">
        <v>2011</v>
      </c>
      <c r="B8" s="15" t="n">
        <v>1</v>
      </c>
      <c r="C8" s="15" t="inlineStr">
        <is>
          <t>Jan</t>
        </is>
      </c>
      <c r="D8" s="18" t="n">
        <v>1042225.35</v>
      </c>
      <c r="E8" s="18" t="n">
        <v>363509.04</v>
      </c>
      <c r="F8" s="17" t="n">
        <v>12914</v>
      </c>
    </row>
    <row r="9">
      <c r="A9" s="15" t="n">
        <v>2011</v>
      </c>
      <c r="B9" s="15" t="n">
        <v>2</v>
      </c>
      <c r="C9" s="15" t="inlineStr">
        <is>
          <t>Feb</t>
        </is>
      </c>
      <c r="D9" s="18" t="n">
        <v>387002.2</v>
      </c>
      <c r="E9" s="18" t="n">
        <v>127722.96</v>
      </c>
      <c r="F9" s="17" t="n">
        <v>8156</v>
      </c>
    </row>
    <row r="10">
      <c r="A10" s="15" t="n">
        <v>2011</v>
      </c>
      <c r="B10" s="15" t="n">
        <v>4</v>
      </c>
      <c r="C10" s="15" t="inlineStr">
        <is>
          <t>Apr</t>
        </is>
      </c>
      <c r="D10" s="18" t="n">
        <v>2798046.49</v>
      </c>
      <c r="E10" s="18" t="n">
        <v>693911.51</v>
      </c>
      <c r="F10" s="17" t="n">
        <v>4187</v>
      </c>
    </row>
    <row r="11">
      <c r="A11" s="15" t="n">
        <v>2011</v>
      </c>
      <c r="B11" s="15" t="n">
        <v>5</v>
      </c>
      <c r="C11" s="15" t="inlineStr">
        <is>
          <t>May</t>
        </is>
      </c>
      <c r="D11" s="18" t="n">
        <v>272410.45</v>
      </c>
      <c r="E11" s="18" t="n">
        <v>89904.06</v>
      </c>
      <c r="F11" s="17" t="n">
        <v>5741</v>
      </c>
    </row>
    <row r="12">
      <c r="A12" s="15" t="n">
        <v>2011</v>
      </c>
      <c r="B12" s="15" t="n">
        <v>6</v>
      </c>
      <c r="C12" s="15" t="inlineStr">
        <is>
          <t>Jun</t>
        </is>
      </c>
      <c r="D12" s="18" t="n">
        <v>19103.44</v>
      </c>
      <c r="E12" s="18" t="n">
        <v>7828.12</v>
      </c>
      <c r="F12" s="17" t="n">
        <v>124</v>
      </c>
    </row>
    <row r="13">
      <c r="A13" s="15" t="n">
        <v>2011</v>
      </c>
      <c r="B13" s="15" t="n">
        <v>7</v>
      </c>
      <c r="C13" s="15" t="inlineStr">
        <is>
          <t>Jul</t>
        </is>
      </c>
      <c r="D13" s="18" t="n">
        <v>97040.64</v>
      </c>
      <c r="E13" s="18" t="n">
        <v>65214.72</v>
      </c>
      <c r="F13" s="17" t="n">
        <v>888</v>
      </c>
    </row>
    <row r="14">
      <c r="A14" s="15" t="n">
        <v>2011</v>
      </c>
      <c r="B14" s="15" t="n">
        <v>9</v>
      </c>
      <c r="C14" s="15" t="inlineStr">
        <is>
          <t>Sep</t>
        </is>
      </c>
      <c r="D14" s="18" t="n">
        <v>574951.92</v>
      </c>
      <c r="E14" s="18" t="n">
        <v>235601.16</v>
      </c>
      <c r="F14" s="17" t="n">
        <v>3732</v>
      </c>
    </row>
    <row r="15">
      <c r="A15" s="15" t="n">
        <v>2011</v>
      </c>
      <c r="B15" s="15" t="n">
        <v>11</v>
      </c>
      <c r="C15" s="15" t="inlineStr">
        <is>
          <t>Nov</t>
        </is>
      </c>
      <c r="D15" s="18" t="n">
        <v>5938385.58</v>
      </c>
      <c r="E15" s="18" t="n">
        <v>1157316.66</v>
      </c>
      <c r="F15" s="17" t="n">
        <v>19026</v>
      </c>
    </row>
    <row r="16">
      <c r="A16" s="15" t="n">
        <v>2012</v>
      </c>
      <c r="B16" s="15" t="n">
        <v>1</v>
      </c>
      <c r="C16" s="15" t="inlineStr">
        <is>
          <t>Jan</t>
        </is>
      </c>
      <c r="D16" s="18" t="n">
        <v>1012884</v>
      </c>
      <c r="E16" s="18" t="n">
        <v>206568.36</v>
      </c>
      <c r="F16" s="17" t="n">
        <v>1548</v>
      </c>
    </row>
    <row r="17">
      <c r="A17" s="15" t="n">
        <v>2012</v>
      </c>
      <c r="B17" s="15" t="n">
        <v>2</v>
      </c>
      <c r="C17" s="15" t="inlineStr">
        <is>
          <t>Feb</t>
        </is>
      </c>
      <c r="D17" s="18" t="n">
        <v>6707849.42</v>
      </c>
      <c r="E17" s="18" t="n">
        <v>1553766.98</v>
      </c>
      <c r="F17" s="17" t="n">
        <v>15776</v>
      </c>
    </row>
    <row r="18">
      <c r="A18" s="15" t="n">
        <v>2012</v>
      </c>
      <c r="B18" s="15" t="n">
        <v>3</v>
      </c>
      <c r="C18" s="15" t="inlineStr">
        <is>
          <t>Mar</t>
        </is>
      </c>
      <c r="D18" s="18" t="n">
        <v>994765.42</v>
      </c>
      <c r="E18" s="18" t="n">
        <v>407630.41</v>
      </c>
      <c r="F18" s="17" t="n">
        <v>6457</v>
      </c>
    </row>
    <row r="19">
      <c r="A19" s="15" t="n">
        <v>2012</v>
      </c>
      <c r="B19" s="15" t="n">
        <v>4</v>
      </c>
      <c r="C19" s="15" t="inlineStr">
        <is>
          <t>Apr</t>
        </is>
      </c>
      <c r="D19" s="18" t="n">
        <v>4556012.38</v>
      </c>
      <c r="E19" s="18" t="n">
        <v>971008.14</v>
      </c>
      <c r="F19" s="17" t="n">
        <v>8903</v>
      </c>
    </row>
    <row r="20">
      <c r="A20" s="15" t="n">
        <v>2012</v>
      </c>
      <c r="B20" s="15" t="n">
        <v>5</v>
      </c>
      <c r="C20" s="15" t="inlineStr">
        <is>
          <t>May</t>
        </is>
      </c>
      <c r="D20" s="18" t="n">
        <v>3782781.82</v>
      </c>
      <c r="E20" s="18" t="n">
        <v>1218518.14</v>
      </c>
      <c r="F20" s="17" t="n">
        <v>10984</v>
      </c>
    </row>
    <row r="21">
      <c r="A21" s="15" t="n">
        <v>2012</v>
      </c>
      <c r="B21" s="15" t="n">
        <v>6</v>
      </c>
      <c r="C21" s="15" t="inlineStr">
        <is>
          <t>Jun</t>
        </is>
      </c>
      <c r="D21" s="18" t="n">
        <v>2132075.27</v>
      </c>
      <c r="E21" s="18" t="n">
        <v>698414.36</v>
      </c>
      <c r="F21" s="17" t="n">
        <v>7620</v>
      </c>
    </row>
    <row r="22">
      <c r="A22" s="15" t="n">
        <v>2012</v>
      </c>
      <c r="B22" s="15" t="n">
        <v>7</v>
      </c>
      <c r="C22" s="15" t="inlineStr">
        <is>
          <t>Jul</t>
        </is>
      </c>
      <c r="D22" s="18" t="n">
        <v>4445093.92</v>
      </c>
      <c r="E22" s="18" t="n">
        <v>1065073.62</v>
      </c>
      <c r="F22" s="17" t="n">
        <v>22646</v>
      </c>
    </row>
    <row r="23">
      <c r="A23" s="15" t="n">
        <v>2012</v>
      </c>
      <c r="B23" s="15" t="n">
        <v>8</v>
      </c>
      <c r="C23" s="15" t="inlineStr">
        <is>
          <t>Aug</t>
        </is>
      </c>
      <c r="D23" s="18" t="n">
        <v>576782.8</v>
      </c>
      <c r="E23" s="18" t="n">
        <v>248406.36</v>
      </c>
      <c r="F23" s="17" t="n">
        <v>2804</v>
      </c>
    </row>
    <row r="24">
      <c r="A24" s="15" t="n">
        <v>2012</v>
      </c>
      <c r="B24" s="15" t="n">
        <v>9</v>
      </c>
      <c r="C24" s="15" t="inlineStr">
        <is>
          <t>Sep</t>
        </is>
      </c>
      <c r="D24" s="18" t="n">
        <v>4648152.720000001</v>
      </c>
      <c r="E24" s="18" t="n">
        <v>2084889.03</v>
      </c>
      <c r="F24" s="17" t="n">
        <v>16545</v>
      </c>
    </row>
    <row r="25">
      <c r="A25" s="15" t="n">
        <v>2012</v>
      </c>
      <c r="B25" s="15" t="n">
        <v>10</v>
      </c>
      <c r="C25" s="15" t="inlineStr">
        <is>
          <t>Oct</t>
        </is>
      </c>
      <c r="D25" s="18" t="n">
        <v>3042246.77</v>
      </c>
      <c r="E25" s="18" t="n">
        <v>758734.72</v>
      </c>
      <c r="F25" s="17" t="n">
        <v>4684</v>
      </c>
    </row>
    <row r="26">
      <c r="A26" s="15" t="n">
        <v>2013</v>
      </c>
      <c r="B26" s="15" t="n">
        <v>2</v>
      </c>
      <c r="C26" s="15" t="inlineStr">
        <is>
          <t>Feb</t>
        </is>
      </c>
      <c r="D26" s="18" t="n">
        <v>3296425.02</v>
      </c>
      <c r="E26" s="18" t="n">
        <v>639077.5</v>
      </c>
      <c r="F26" s="17" t="n">
        <v>5062</v>
      </c>
    </row>
    <row r="27">
      <c r="A27" s="15" t="n">
        <v>2013</v>
      </c>
      <c r="B27" s="15" t="n">
        <v>3</v>
      </c>
      <c r="C27" s="15" t="inlineStr">
        <is>
          <t>Mar</t>
        </is>
      </c>
      <c r="D27" s="18" t="n">
        <v>835759.1</v>
      </c>
      <c r="E27" s="18" t="n">
        <v>359941.17</v>
      </c>
      <c r="F27" s="17" t="n">
        <v>4063</v>
      </c>
    </row>
    <row r="28">
      <c r="A28" s="15" t="n">
        <v>2013</v>
      </c>
      <c r="B28" s="15" t="n">
        <v>4</v>
      </c>
      <c r="C28" s="15" t="inlineStr">
        <is>
          <t>Apr</t>
        </is>
      </c>
      <c r="D28" s="18" t="n">
        <v>3262562.1</v>
      </c>
      <c r="E28" s="18" t="n">
        <v>632512.5</v>
      </c>
      <c r="F28" s="17" t="n">
        <v>5010</v>
      </c>
    </row>
    <row r="29">
      <c r="A29" s="15" t="n">
        <v>2013</v>
      </c>
      <c r="B29" s="15" t="n">
        <v>6</v>
      </c>
      <c r="C29" s="15" t="inlineStr">
        <is>
          <t>Jun</t>
        </is>
      </c>
      <c r="D29" s="18" t="n">
        <v>1352867.4</v>
      </c>
      <c r="E29" s="18" t="n">
        <v>515753.38</v>
      </c>
      <c r="F29" s="17" t="n">
        <v>5432</v>
      </c>
    </row>
    <row r="30">
      <c r="A30" s="15" t="n">
        <v>2013</v>
      </c>
      <c r="B30" s="15" t="n">
        <v>7</v>
      </c>
      <c r="C30" s="15" t="inlineStr">
        <is>
          <t>Jul</t>
        </is>
      </c>
      <c r="D30" s="18" t="n">
        <v>8545511.199999999</v>
      </c>
      <c r="E30" s="18" t="n">
        <v>3398463.02</v>
      </c>
      <c r="F30" s="17" t="n">
        <v>19546</v>
      </c>
    </row>
    <row r="31">
      <c r="A31" s="15" t="n">
        <v>2013</v>
      </c>
      <c r="B31" s="15" t="n">
        <v>8</v>
      </c>
      <c r="C31" s="15" t="inlineStr">
        <is>
          <t>Aug</t>
        </is>
      </c>
      <c r="D31" s="18" t="n">
        <v>89623.98</v>
      </c>
      <c r="E31" s="18" t="n">
        <v>23150.46</v>
      </c>
      <c r="F31" s="17" t="n">
        <v>9606</v>
      </c>
    </row>
    <row r="32">
      <c r="A32" s="15" t="n">
        <v>2013</v>
      </c>
      <c r="B32" s="15" t="n">
        <v>9</v>
      </c>
      <c r="C32" s="15" t="inlineStr">
        <is>
          <t>Sep</t>
        </is>
      </c>
      <c r="D32" s="18" t="n">
        <v>71253.21000000001</v>
      </c>
      <c r="E32" s="18" t="n">
        <v>18405.17</v>
      </c>
      <c r="F32" s="17" t="n">
        <v>7637</v>
      </c>
    </row>
    <row r="33">
      <c r="A33" s="15" t="n">
        <v>2013</v>
      </c>
      <c r="B33" s="15" t="n">
        <v>10</v>
      </c>
      <c r="C33" s="15" t="inlineStr">
        <is>
          <t>Oct</t>
        </is>
      </c>
      <c r="D33" s="18" t="n">
        <v>2702770.4</v>
      </c>
      <c r="E33" s="18" t="n">
        <v>1074864.34</v>
      </c>
      <c r="F33" s="17" t="n">
        <v>6182</v>
      </c>
    </row>
    <row r="34">
      <c r="A34" s="15" t="n">
        <v>2013</v>
      </c>
      <c r="B34" s="15" t="n">
        <v>12</v>
      </c>
      <c r="C34" s="15" t="inlineStr">
        <is>
          <t>Dec</t>
        </is>
      </c>
      <c r="D34" s="18" t="n">
        <v>173676.25</v>
      </c>
      <c r="E34" s="18" t="n">
        <v>53252.5</v>
      </c>
      <c r="F34" s="17" t="n">
        <v>2125</v>
      </c>
    </row>
    <row r="35">
      <c r="A35" s="15" t="n">
        <v>2014</v>
      </c>
      <c r="B35" s="15" t="n">
        <v>2</v>
      </c>
      <c r="C35" s="15" t="inlineStr">
        <is>
          <t>Feb</t>
        </is>
      </c>
      <c r="D35" s="18" t="n">
        <v>1819660.25</v>
      </c>
      <c r="E35" s="18" t="n">
        <v>655704.8</v>
      </c>
      <c r="F35" s="17" t="n">
        <v>10460</v>
      </c>
    </row>
    <row r="36">
      <c r="A36" s="15" t="n">
        <v>2014</v>
      </c>
      <c r="B36" s="15" t="n">
        <v>4</v>
      </c>
      <c r="C36" s="15" t="inlineStr">
        <is>
          <t>Apr</t>
        </is>
      </c>
      <c r="D36" s="18" t="n">
        <v>4510578.1</v>
      </c>
      <c r="E36" s="18" t="n">
        <v>1838545.92</v>
      </c>
      <c r="F36" s="17" t="n">
        <v>13808</v>
      </c>
    </row>
    <row r="37">
      <c r="A37" s="15" t="n">
        <v>2014</v>
      </c>
      <c r="B37" s="15" t="n">
        <v>5</v>
      </c>
      <c r="C37" s="15" t="inlineStr">
        <is>
          <t>May</t>
        </is>
      </c>
      <c r="D37" s="18" t="n">
        <v>3060338.59</v>
      </c>
      <c r="E37" s="18" t="n">
        <v>938755.75</v>
      </c>
      <c r="F37" s="17" t="n">
        <v>9229</v>
      </c>
    </row>
    <row r="38">
      <c r="A38" s="15" t="n">
        <v>2014</v>
      </c>
      <c r="B38" s="15" t="n">
        <v>6</v>
      </c>
      <c r="C38" s="15" t="inlineStr">
        <is>
          <t>Jun</t>
        </is>
      </c>
      <c r="D38" s="18" t="n">
        <v>75591.66</v>
      </c>
      <c r="E38" s="18" t="n">
        <v>19525.82</v>
      </c>
      <c r="F38" s="17" t="n">
        <v>8102</v>
      </c>
    </row>
    <row r="39">
      <c r="A39" s="15" t="n">
        <v>2014</v>
      </c>
      <c r="B39" s="15" t="n">
        <v>7</v>
      </c>
      <c r="C39" s="15" t="inlineStr">
        <is>
          <t>Jul</t>
        </is>
      </c>
      <c r="D39" s="18" t="n">
        <v>688641.85</v>
      </c>
      <c r="E39" s="18" t="n">
        <v>227273.58</v>
      </c>
      <c r="F39" s="17" t="n">
        <v>14513</v>
      </c>
    </row>
    <row r="40">
      <c r="A40" s="15" t="n">
        <v>2014</v>
      </c>
      <c r="B40" s="15" t="n">
        <v>8</v>
      </c>
      <c r="C40" s="15" t="inlineStr">
        <is>
          <t>Aug</t>
        </is>
      </c>
      <c r="D40" s="18" t="n">
        <v>455479.04</v>
      </c>
      <c r="E40" s="18" t="n">
        <v>306097.92</v>
      </c>
      <c r="F40" s="17" t="n">
        <v>4168</v>
      </c>
    </row>
    <row r="41">
      <c r="A41" s="15" t="n">
        <v>2014</v>
      </c>
      <c r="B41" s="15" t="n">
        <v>9</v>
      </c>
      <c r="C41" s="15" t="inlineStr">
        <is>
          <t>Sep</t>
        </is>
      </c>
      <c r="D41" s="18" t="n">
        <v>20404.71</v>
      </c>
      <c r="E41" s="18" t="n">
        <v>5270.67</v>
      </c>
      <c r="F41" s="17" t="n">
        <v>2187</v>
      </c>
    </row>
    <row r="42">
      <c r="A42" s="15" t="n">
        <v>2014</v>
      </c>
      <c r="B42" s="15" t="n">
        <v>10</v>
      </c>
      <c r="C42" s="15" t="inlineStr">
        <is>
          <t>Oct</t>
        </is>
      </c>
      <c r="D42" s="18" t="n">
        <v>1352370.65</v>
      </c>
      <c r="E42" s="18" t="n">
        <v>735800.8</v>
      </c>
      <c r="F42" s="17" t="n">
        <v>22619</v>
      </c>
    </row>
    <row r="43">
      <c r="A43" s="15" t="n">
        <v>2014</v>
      </c>
      <c r="B43" s="15" t="n">
        <v>11</v>
      </c>
      <c r="C43" s="15" t="inlineStr">
        <is>
          <t>Nov</t>
        </is>
      </c>
      <c r="D43" s="18" t="n">
        <v>4647149.58</v>
      </c>
      <c r="E43" s="18" t="n">
        <v>1152486.42</v>
      </c>
      <c r="F43" s="17" t="n">
        <v>6954</v>
      </c>
    </row>
    <row r="44">
      <c r="A44" s="15" t="n">
        <v>2015</v>
      </c>
      <c r="B44" s="15" t="n">
        <v>1</v>
      </c>
      <c r="C44" s="15" t="inlineStr">
        <is>
          <t>Jan</t>
        </is>
      </c>
      <c r="D44" s="18" t="n">
        <v>5513227.5</v>
      </c>
      <c r="E44" s="18" t="n">
        <v>1367272.5</v>
      </c>
      <c r="F44" s="17" t="n">
        <v>8250</v>
      </c>
    </row>
    <row r="45">
      <c r="A45" s="15" t="n">
        <v>2015</v>
      </c>
      <c r="B45" s="15" t="n">
        <v>2</v>
      </c>
      <c r="C45" s="15" t="inlineStr">
        <is>
          <t>Feb</t>
        </is>
      </c>
      <c r="D45" s="18" t="n">
        <v>2003911.12</v>
      </c>
      <c r="E45" s="18" t="n">
        <v>780095.53</v>
      </c>
      <c r="F45" s="17" t="n">
        <v>5821</v>
      </c>
    </row>
    <row r="46">
      <c r="A46" s="15" t="n">
        <v>2015</v>
      </c>
      <c r="B46" s="15" t="n">
        <v>4</v>
      </c>
      <c r="C46" s="15" t="inlineStr">
        <is>
          <t>Apr</t>
        </is>
      </c>
      <c r="D46" s="18" t="n">
        <v>1059987.26</v>
      </c>
      <c r="E46" s="18" t="n">
        <v>624230.28</v>
      </c>
      <c r="F46" s="17" t="n">
        <v>12772</v>
      </c>
    </row>
    <row r="47">
      <c r="A47" s="15" t="n">
        <v>2015</v>
      </c>
      <c r="B47" s="15" t="n">
        <v>7</v>
      </c>
      <c r="C47" s="15" t="inlineStr">
        <is>
          <t>Jul</t>
        </is>
      </c>
      <c r="D47" s="18" t="n">
        <v>1292409.45</v>
      </c>
      <c r="E47" s="18" t="n">
        <v>418665</v>
      </c>
      <c r="F47" s="17" t="n">
        <v>13110</v>
      </c>
    </row>
    <row r="48">
      <c r="A48" s="15" t="n">
        <v>2015</v>
      </c>
      <c r="B48" s="15" t="n">
        <v>8</v>
      </c>
      <c r="C48" s="15" t="inlineStr">
        <is>
          <t>Aug</t>
        </is>
      </c>
      <c r="D48" s="18" t="n">
        <v>6279.09</v>
      </c>
      <c r="E48" s="18" t="n">
        <v>1621.93</v>
      </c>
      <c r="F48" s="17" t="n">
        <v>673</v>
      </c>
    </row>
    <row r="49">
      <c r="A49" s="15" t="n">
        <v>2015</v>
      </c>
      <c r="B49" s="15" t="n">
        <v>10</v>
      </c>
      <c r="C49" s="15" t="inlineStr">
        <is>
          <t>Oct</t>
        </is>
      </c>
      <c r="D49" s="18" t="n">
        <v>1904138.04</v>
      </c>
      <c r="E49" s="18" t="n">
        <v>369155</v>
      </c>
      <c r="F49" s="17" t="n">
        <v>2924</v>
      </c>
    </row>
    <row r="50">
      <c r="A50" s="15" t="n">
        <v>2015</v>
      </c>
      <c r="B50" s="15" t="n">
        <v>11</v>
      </c>
      <c r="C50" s="15" t="inlineStr">
        <is>
          <t>Nov</t>
        </is>
      </c>
      <c r="D50" s="18" t="n">
        <v>648030.4</v>
      </c>
      <c r="E50" s="18" t="n">
        <v>435499.2</v>
      </c>
      <c r="F50" s="17" t="n">
        <v>5930</v>
      </c>
    </row>
    <row r="51">
      <c r="A51" s="15" t="n">
        <v>2016</v>
      </c>
      <c r="B51" s="15" t="n">
        <v>3</v>
      </c>
      <c r="C51" s="15" t="inlineStr">
        <is>
          <t>Mar</t>
        </is>
      </c>
      <c r="D51" s="18" t="n">
        <v>197883.4</v>
      </c>
      <c r="E51" s="18" t="n">
        <v>85223.58</v>
      </c>
      <c r="F51" s="17" t="n">
        <v>962</v>
      </c>
    </row>
    <row r="52">
      <c r="A52" s="15" t="n">
        <v>2016</v>
      </c>
      <c r="B52" s="15" t="n">
        <v>5</v>
      </c>
      <c r="C52" s="15" t="inlineStr">
        <is>
          <t>May</t>
        </is>
      </c>
      <c r="D52" s="18" t="n">
        <v>414371.1</v>
      </c>
      <c r="E52" s="18" t="n">
        <v>127054.2</v>
      </c>
      <c r="F52" s="17" t="n">
        <v>5070</v>
      </c>
    </row>
    <row r="53">
      <c r="A53" s="15" t="n">
        <v>2016</v>
      </c>
      <c r="B53" s="15" t="n">
        <v>6</v>
      </c>
      <c r="C53" s="15" t="inlineStr">
        <is>
          <t>Jun</t>
        </is>
      </c>
      <c r="D53" s="18" t="n">
        <v>568269.6</v>
      </c>
      <c r="E53" s="18" t="n">
        <v>216434.55</v>
      </c>
      <c r="F53" s="17" t="n">
        <v>3710</v>
      </c>
    </row>
    <row r="54">
      <c r="A54" s="15" t="n">
        <v>2016</v>
      </c>
      <c r="B54" s="15" t="n">
        <v>7</v>
      </c>
      <c r="C54" s="15" t="inlineStr">
        <is>
          <t>Jul</t>
        </is>
      </c>
      <c r="D54" s="18" t="n">
        <v>600821.4399999999</v>
      </c>
      <c r="E54" s="18" t="n">
        <v>403773.12</v>
      </c>
      <c r="F54" s="17" t="n">
        <v>5498</v>
      </c>
    </row>
    <row r="55">
      <c r="A55" s="15" t="n">
        <v>2016</v>
      </c>
      <c r="B55" s="15" t="n">
        <v>10</v>
      </c>
      <c r="C55" s="15" t="inlineStr">
        <is>
          <t>Oct</t>
        </is>
      </c>
      <c r="D55" s="18" t="n">
        <v>221117</v>
      </c>
      <c r="E55" s="18" t="n">
        <v>72975.60000000001</v>
      </c>
      <c r="F55" s="17" t="n">
        <v>4660</v>
      </c>
    </row>
    <row r="56">
      <c r="A56" s="15" t="n">
        <v>2016</v>
      </c>
      <c r="B56" s="15" t="n">
        <v>11</v>
      </c>
      <c r="C56" s="15" t="inlineStr">
        <is>
          <t>Nov</t>
        </is>
      </c>
      <c r="D56" s="18" t="n">
        <v>5876405.199999999</v>
      </c>
      <c r="E56" s="18" t="n">
        <v>2336986.67</v>
      </c>
      <c r="F56" s="17" t="n">
        <v>13441</v>
      </c>
    </row>
    <row r="57">
      <c r="A57" s="15" t="n">
        <v>2016</v>
      </c>
      <c r="B57" s="15" t="n">
        <v>12</v>
      </c>
      <c r="C57" s="15" t="inlineStr">
        <is>
          <t>Dec</t>
        </is>
      </c>
      <c r="D57" s="18" t="n">
        <v>4493999.48</v>
      </c>
      <c r="E57" s="18" t="n">
        <v>1661390.29</v>
      </c>
      <c r="F57" s="17" t="n">
        <v>9815</v>
      </c>
    </row>
    <row r="58">
      <c r="A58" s="15" t="n">
        <v>2017</v>
      </c>
      <c r="B58" s="15" t="n">
        <v>1</v>
      </c>
      <c r="C58" s="15" t="inlineStr">
        <is>
          <t>Jan</t>
        </is>
      </c>
      <c r="D58" s="18" t="n">
        <v>2914130.27</v>
      </c>
      <c r="E58" s="18" t="n">
        <v>879507.12</v>
      </c>
      <c r="F58" s="17" t="n">
        <v>13030</v>
      </c>
    </row>
    <row r="59">
      <c r="A59" s="15" t="n">
        <v>2017</v>
      </c>
      <c r="B59" s="15" t="n">
        <v>2</v>
      </c>
      <c r="C59" s="15" t="inlineStr">
        <is>
          <t>Feb</t>
        </is>
      </c>
      <c r="D59" s="18" t="n">
        <v>7115008.640000001</v>
      </c>
      <c r="E59" s="18" t="n">
        <v>1891271.8</v>
      </c>
      <c r="F59" s="17" t="n">
        <v>16301</v>
      </c>
    </row>
    <row r="60">
      <c r="A60" s="15" t="n">
        <v>2017</v>
      </c>
      <c r="B60" s="15" t="n">
        <v>3</v>
      </c>
      <c r="C60" s="15" t="inlineStr">
        <is>
          <t>Mar</t>
        </is>
      </c>
      <c r="D60" s="18" t="n">
        <v>246415.95</v>
      </c>
      <c r="E60" s="18" t="n">
        <v>75555.89999999999</v>
      </c>
      <c r="F60" s="17" t="n">
        <v>3015</v>
      </c>
    </row>
    <row r="61">
      <c r="A61" s="15" t="n">
        <v>2017</v>
      </c>
      <c r="B61" s="15" t="n">
        <v>5</v>
      </c>
      <c r="C61" s="15" t="inlineStr">
        <is>
          <t>May</t>
        </is>
      </c>
      <c r="D61" s="18" t="n">
        <v>3097864.77</v>
      </c>
      <c r="E61" s="18" t="n">
        <v>1243018.63</v>
      </c>
      <c r="F61" s="17" t="n">
        <v>16880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12" customWidth="1" min="4" max="4"/>
    <col width="11" customWidth="1" min="5" max="5"/>
  </cols>
  <sheetData>
    <row r="1" ht="24" customHeight="1">
      <c r="A1" s="11" t="inlineStr">
        <is>
          <t>Region</t>
        </is>
      </c>
      <c r="B1" s="11" t="inlineStr">
        <is>
          <t>Country</t>
        </is>
      </c>
      <c r="C1" s="13" t="inlineStr">
        <is>
          <t>Revenue</t>
        </is>
      </c>
      <c r="D1" s="13" t="inlineStr">
        <is>
          <t>Profit</t>
        </is>
      </c>
      <c r="E1" s="12" t="inlineStr">
        <is>
          <t>Units</t>
        </is>
      </c>
    </row>
    <row r="2">
      <c r="A2" s="15" t="inlineStr">
        <is>
          <t>Asia</t>
        </is>
      </c>
      <c r="B2" s="15" t="inlineStr">
        <is>
          <t>Bangladesh</t>
        </is>
      </c>
      <c r="C2" s="18" t="n">
        <v>902980.64</v>
      </c>
      <c r="D2" s="18" t="n">
        <v>606834.72</v>
      </c>
      <c r="E2" s="17" t="n">
        <v>8263</v>
      </c>
    </row>
    <row r="3">
      <c r="A3" s="15" t="inlineStr">
        <is>
          <t>Asia</t>
        </is>
      </c>
      <c r="B3" s="15" t="inlineStr">
        <is>
          <t>Brunei</t>
        </is>
      </c>
      <c r="C3" s="18" t="n">
        <v>4368316.68</v>
      </c>
      <c r="D3" s="18" t="n">
        <v>846885</v>
      </c>
      <c r="E3" s="17" t="n">
        <v>6708</v>
      </c>
    </row>
    <row r="4">
      <c r="A4" s="15" t="inlineStr">
        <is>
          <t>Asia</t>
        </is>
      </c>
      <c r="B4" s="15" t="inlineStr">
        <is>
          <t>Kyrgyzstan</t>
        </is>
      </c>
      <c r="C4" s="18" t="n">
        <v>19103.44</v>
      </c>
      <c r="D4" s="18" t="n">
        <v>7828.12</v>
      </c>
      <c r="E4" s="17" t="n">
        <v>124</v>
      </c>
    </row>
    <row r="5">
      <c r="A5" s="15" t="inlineStr">
        <is>
          <t>Asia</t>
        </is>
      </c>
      <c r="B5" s="15" t="inlineStr">
        <is>
          <t>Laos</t>
        </is>
      </c>
      <c r="C5" s="18" t="n">
        <v>574951.92</v>
      </c>
      <c r="D5" s="18" t="n">
        <v>235601.16</v>
      </c>
      <c r="E5" s="17" t="n">
        <v>3732</v>
      </c>
    </row>
    <row r="6">
      <c r="A6" s="15" t="inlineStr">
        <is>
          <t>Asia</t>
        </is>
      </c>
      <c r="B6" s="15" t="inlineStr">
        <is>
          <t>Malaysia</t>
        </is>
      </c>
      <c r="C6" s="18" t="n">
        <v>58471.11</v>
      </c>
      <c r="D6" s="18" t="n">
        <v>15103.47</v>
      </c>
      <c r="E6" s="17" t="n">
        <v>6267</v>
      </c>
    </row>
    <row r="7">
      <c r="A7" s="15" t="inlineStr">
        <is>
          <t>Asia</t>
        </is>
      </c>
      <c r="B7" s="15" t="inlineStr">
        <is>
          <t>Mongolia</t>
        </is>
      </c>
      <c r="C7" s="18" t="n">
        <v>400558.73</v>
      </c>
      <c r="D7" s="18" t="n">
        <v>122819.06</v>
      </c>
      <c r="E7" s="17" t="n">
        <v>4901</v>
      </c>
    </row>
    <row r="8">
      <c r="A8" s="15" t="inlineStr">
        <is>
          <t>Asia</t>
        </is>
      </c>
      <c r="B8" s="15" t="inlineStr">
        <is>
          <t>Myanmar</t>
        </is>
      </c>
      <c r="C8" s="18" t="n">
        <v>6161257.9</v>
      </c>
      <c r="D8" s="18" t="n">
        <v>1802771.7</v>
      </c>
      <c r="E8" s="17" t="n">
        <v>14180</v>
      </c>
    </row>
    <row r="9">
      <c r="A9" s="15" t="inlineStr">
        <is>
          <t>Asia</t>
        </is>
      </c>
      <c r="B9" s="15" t="inlineStr">
        <is>
          <t>Sri Lanka</t>
        </is>
      </c>
      <c r="C9" s="18" t="n">
        <v>3039414.4</v>
      </c>
      <c r="D9" s="18" t="n">
        <v>1208744.24</v>
      </c>
      <c r="E9" s="17" t="n">
        <v>6952</v>
      </c>
    </row>
    <row r="10">
      <c r="A10" s="15" t="inlineStr">
        <is>
          <t>Asia</t>
        </is>
      </c>
      <c r="B10" s="15" t="inlineStr">
        <is>
          <t>Turkmenistan</t>
        </is>
      </c>
      <c r="C10" s="18" t="n">
        <v>5822036.2</v>
      </c>
      <c r="D10" s="18" t="n">
        <v>1267258.4</v>
      </c>
      <c r="E10" s="17" t="n">
        <v>8840</v>
      </c>
    </row>
    <row r="11">
      <c r="A11" s="15" t="inlineStr">
        <is>
          <t>Australia and Oceania</t>
        </is>
      </c>
      <c r="B11" s="15" t="inlineStr">
        <is>
          <t>Australia</t>
        </is>
      </c>
      <c r="C11" s="18" t="n">
        <v>2489933.49</v>
      </c>
      <c r="D11" s="18" t="n">
        <v>576605.12</v>
      </c>
      <c r="E11" s="17" t="n">
        <v>12995</v>
      </c>
    </row>
    <row r="12">
      <c r="A12" s="15" t="inlineStr">
        <is>
          <t>Australia and Oceania</t>
        </is>
      </c>
      <c r="B12" s="15" t="inlineStr">
        <is>
          <t>East Timor</t>
        </is>
      </c>
      <c r="C12" s="18" t="n">
        <v>2492526.12</v>
      </c>
      <c r="D12" s="18" t="n">
        <v>337937.6</v>
      </c>
      <c r="E12" s="17" t="n">
        <v>5908</v>
      </c>
    </row>
    <row r="13">
      <c r="A13" s="15" t="inlineStr">
        <is>
          <t>Australia and Oceania</t>
        </is>
      </c>
      <c r="B13" s="15" t="inlineStr">
        <is>
          <t>Federated States of Micronesia</t>
        </is>
      </c>
      <c r="C13" s="18" t="n">
        <v>445033.55</v>
      </c>
      <c r="D13" s="18" t="n">
        <v>146875.14</v>
      </c>
      <c r="E13" s="17" t="n">
        <v>9379</v>
      </c>
    </row>
    <row r="14">
      <c r="A14" s="15" t="inlineStr">
        <is>
          <t>Australia and Oceania</t>
        </is>
      </c>
      <c r="B14" s="15" t="inlineStr">
        <is>
          <t>Fiji</t>
        </is>
      </c>
      <c r="C14" s="18" t="n">
        <v>1082418.4</v>
      </c>
      <c r="D14" s="18" t="n">
        <v>727423.2</v>
      </c>
      <c r="E14" s="17" t="n">
        <v>9905</v>
      </c>
    </row>
    <row r="15">
      <c r="A15" s="15" t="inlineStr">
        <is>
          <t>Australia and Oceania</t>
        </is>
      </c>
      <c r="B15" s="15" t="inlineStr">
        <is>
          <t>Kiribati</t>
        </is>
      </c>
      <c r="C15" s="18" t="n">
        <v>50363.34</v>
      </c>
      <c r="D15" s="18" t="n">
        <v>13009.18</v>
      </c>
      <c r="E15" s="17" t="n">
        <v>5398</v>
      </c>
    </row>
    <row r="16">
      <c r="A16" s="15" t="inlineStr">
        <is>
          <t>Australia and Oceania</t>
        </is>
      </c>
      <c r="B16" s="15" t="inlineStr">
        <is>
          <t>New Zealand</t>
        </is>
      </c>
      <c r="C16" s="18" t="n">
        <v>20404.71</v>
      </c>
      <c r="D16" s="18" t="n">
        <v>5270.67</v>
      </c>
      <c r="E16" s="17" t="n">
        <v>2187</v>
      </c>
    </row>
    <row r="17">
      <c r="A17" s="15" t="inlineStr">
        <is>
          <t>Australia and Oceania</t>
        </is>
      </c>
      <c r="B17" s="15" t="inlineStr">
        <is>
          <t>Samoa</t>
        </is>
      </c>
      <c r="C17" s="18" t="n">
        <v>4220728.8</v>
      </c>
      <c r="D17" s="18" t="n">
        <v>1678540.98</v>
      </c>
      <c r="E17" s="17" t="n">
        <v>9654</v>
      </c>
    </row>
    <row r="18">
      <c r="A18" s="15" t="inlineStr">
        <is>
          <t>Australia and Oceania</t>
        </is>
      </c>
      <c r="B18" s="15" t="inlineStr">
        <is>
          <t>Solomon Islands</t>
        </is>
      </c>
      <c r="C18" s="18" t="n">
        <v>759202.72</v>
      </c>
      <c r="D18" s="18" t="n">
        <v>285087.64</v>
      </c>
      <c r="E18" s="17" t="n">
        <v>2974</v>
      </c>
    </row>
    <row r="19">
      <c r="A19" s="15" t="inlineStr">
        <is>
          <t>Australia and Oceania</t>
        </is>
      </c>
      <c r="B19" s="15" t="inlineStr">
        <is>
          <t>Tuvalu</t>
        </is>
      </c>
      <c r="C19" s="18" t="n">
        <v>2533654</v>
      </c>
      <c r="D19" s="18" t="n">
        <v>951410.5</v>
      </c>
      <c r="E19" s="17" t="n">
        <v>9925</v>
      </c>
    </row>
    <row r="20">
      <c r="A20" s="15" t="inlineStr">
        <is>
          <t>Central America and the Caribbean</t>
        </is>
      </c>
      <c r="B20" s="15" t="inlineStr">
        <is>
          <t>Belize</t>
        </is>
      </c>
      <c r="C20" s="18" t="n">
        <v>600821.4399999999</v>
      </c>
      <c r="D20" s="18" t="n">
        <v>403773.12</v>
      </c>
      <c r="E20" s="17" t="n">
        <v>5498</v>
      </c>
    </row>
    <row r="21">
      <c r="A21" s="15" t="inlineStr">
        <is>
          <t>Central America and the Caribbean</t>
        </is>
      </c>
      <c r="B21" s="15" t="inlineStr">
        <is>
          <t>Costa Rica</t>
        </is>
      </c>
      <c r="C21" s="18" t="n">
        <v>523807.57</v>
      </c>
      <c r="D21" s="18" t="n">
        <v>160609.54</v>
      </c>
      <c r="E21" s="17" t="n">
        <v>6409</v>
      </c>
    </row>
    <row r="22">
      <c r="A22" s="15" t="inlineStr">
        <is>
          <t>Central America and the Caribbean</t>
        </is>
      </c>
      <c r="B22" s="15" t="inlineStr">
        <is>
          <t>Grenada</t>
        </is>
      </c>
      <c r="C22" s="18" t="n">
        <v>576782.8</v>
      </c>
      <c r="D22" s="18" t="n">
        <v>248406.36</v>
      </c>
      <c r="E22" s="17" t="n">
        <v>2804</v>
      </c>
    </row>
    <row r="23">
      <c r="A23" s="15" t="inlineStr">
        <is>
          <t>Central America and the Caribbean</t>
        </is>
      </c>
      <c r="B23" s="15" t="inlineStr">
        <is>
          <t>Haiti</t>
        </is>
      </c>
      <c r="C23" s="18" t="n">
        <v>745426</v>
      </c>
      <c r="D23" s="18" t="n">
        <v>296448.35</v>
      </c>
      <c r="E23" s="17" t="n">
        <v>1705</v>
      </c>
    </row>
    <row r="24">
      <c r="A24" s="15" t="inlineStr">
        <is>
          <t>Central America and the Caribbean</t>
        </is>
      </c>
      <c r="B24" s="15" t="inlineStr">
        <is>
          <t>Honduras</t>
        </is>
      </c>
      <c r="C24" s="18" t="n">
        <v>6336545.48</v>
      </c>
      <c r="D24" s="18" t="n">
        <v>1609947.52</v>
      </c>
      <c r="E24" s="17" t="n">
        <v>11199</v>
      </c>
    </row>
    <row r="25">
      <c r="A25" s="15" t="inlineStr">
        <is>
          <t>Central America and the Caribbean</t>
        </is>
      </c>
      <c r="B25" s="15" t="inlineStr">
        <is>
          <t>Nicaragua</t>
        </is>
      </c>
      <c r="C25" s="18" t="n">
        <v>387002.2</v>
      </c>
      <c r="D25" s="18" t="n">
        <v>127722.96</v>
      </c>
      <c r="E25" s="17" t="n">
        <v>8156</v>
      </c>
    </row>
    <row r="26">
      <c r="A26" s="15" t="inlineStr">
        <is>
          <t>Europe</t>
        </is>
      </c>
      <c r="B26" s="15" t="inlineStr">
        <is>
          <t>Albania</t>
        </is>
      </c>
      <c r="C26" s="18" t="n">
        <v>247956.32</v>
      </c>
      <c r="D26" s="18" t="n">
        <v>166635.36</v>
      </c>
      <c r="E26" s="17" t="n">
        <v>2269</v>
      </c>
    </row>
    <row r="27">
      <c r="A27" s="15" t="inlineStr">
        <is>
          <t>Europe</t>
        </is>
      </c>
      <c r="B27" s="15" t="inlineStr">
        <is>
          <t>Austria</t>
        </is>
      </c>
      <c r="C27" s="18" t="n">
        <v>1244708.4</v>
      </c>
      <c r="D27" s="18" t="n">
        <v>495007.89</v>
      </c>
      <c r="E27" s="17" t="n">
        <v>2847</v>
      </c>
    </row>
    <row r="28">
      <c r="A28" s="15" t="inlineStr">
        <is>
          <t>Europe</t>
        </is>
      </c>
      <c r="B28" s="15" t="inlineStr">
        <is>
          <t>Bulgaria</t>
        </is>
      </c>
      <c r="C28" s="18" t="n">
        <v>2779199.71</v>
      </c>
      <c r="D28" s="18" t="n">
        <v>626223.87</v>
      </c>
      <c r="E28" s="17" t="n">
        <v>5660</v>
      </c>
    </row>
    <row r="29">
      <c r="A29" s="15" t="inlineStr">
        <is>
          <t>Europe</t>
        </is>
      </c>
      <c r="B29" s="15" t="inlineStr">
        <is>
          <t>France</t>
        </is>
      </c>
      <c r="C29" s="18" t="n">
        <v>793518</v>
      </c>
      <c r="D29" s="18" t="n">
        <v>315574.05</v>
      </c>
      <c r="E29" s="17" t="n">
        <v>1815</v>
      </c>
    </row>
    <row r="30">
      <c r="A30" s="15" t="inlineStr">
        <is>
          <t>Europe</t>
        </is>
      </c>
      <c r="B30" s="15" t="inlineStr">
        <is>
          <t>Iceland</t>
        </is>
      </c>
      <c r="C30" s="18" t="n">
        <v>3876652.4</v>
      </c>
      <c r="D30" s="18" t="n">
        <v>1541705.29</v>
      </c>
      <c r="E30" s="17" t="n">
        <v>8867</v>
      </c>
    </row>
    <row r="31">
      <c r="A31" s="15" t="inlineStr">
        <is>
          <t>Europe</t>
        </is>
      </c>
      <c r="B31" s="15" t="inlineStr">
        <is>
          <t>Lithuania</t>
        </is>
      </c>
      <c r="C31" s="18" t="n">
        <v>5396577.27</v>
      </c>
      <c r="D31" s="18" t="n">
        <v>1046233.75</v>
      </c>
      <c r="E31" s="17" t="n">
        <v>8287</v>
      </c>
    </row>
    <row r="32">
      <c r="A32" s="15" t="inlineStr">
        <is>
          <t>Europe</t>
        </is>
      </c>
      <c r="B32" s="15" t="inlineStr">
        <is>
          <t>Macedonia</t>
        </is>
      </c>
      <c r="C32" s="18" t="n">
        <v>856973.76</v>
      </c>
      <c r="D32" s="18" t="n">
        <v>575916.48</v>
      </c>
      <c r="E32" s="17" t="n">
        <v>7842</v>
      </c>
    </row>
    <row r="33">
      <c r="A33" s="15" t="inlineStr">
        <is>
          <t>Europe</t>
        </is>
      </c>
      <c r="B33" s="15" t="inlineStr">
        <is>
          <t>Moldova</t>
        </is>
      </c>
      <c r="C33" s="18" t="n">
        <v>414371.1</v>
      </c>
      <c r="D33" s="18" t="n">
        <v>127054.2</v>
      </c>
      <c r="E33" s="17" t="n">
        <v>5070</v>
      </c>
    </row>
    <row r="34">
      <c r="A34" s="15" t="inlineStr">
        <is>
          <t>Europe</t>
        </is>
      </c>
      <c r="B34" s="15" t="inlineStr">
        <is>
          <t>Monaco</t>
        </is>
      </c>
      <c r="C34" s="18" t="n">
        <v>2198981.92</v>
      </c>
      <c r="D34" s="18" t="n">
        <v>825738.04</v>
      </c>
      <c r="E34" s="17" t="n">
        <v>8614</v>
      </c>
    </row>
    <row r="35">
      <c r="A35" s="15" t="inlineStr">
        <is>
          <t>Europe</t>
        </is>
      </c>
      <c r="B35" s="15" t="inlineStr">
        <is>
          <t>Norway</t>
        </is>
      </c>
      <c r="C35" s="18" t="n">
        <v>2144969.8</v>
      </c>
      <c r="D35" s="18" t="n">
        <v>794398.84</v>
      </c>
      <c r="E35" s="17" t="n">
        <v>12574</v>
      </c>
    </row>
    <row r="36">
      <c r="A36" s="15" t="inlineStr">
        <is>
          <t>Europe</t>
        </is>
      </c>
      <c r="B36" s="15" t="inlineStr">
        <is>
          <t>Portugal</t>
        </is>
      </c>
      <c r="C36" s="18" t="n">
        <v>324971.44</v>
      </c>
      <c r="D36" s="18" t="n">
        <v>122029.78</v>
      </c>
      <c r="E36" s="17" t="n">
        <v>1273</v>
      </c>
    </row>
    <row r="37">
      <c r="A37" s="15" t="inlineStr">
        <is>
          <t>Europe</t>
        </is>
      </c>
      <c r="B37" s="15" t="inlineStr">
        <is>
          <t>Romania</t>
        </is>
      </c>
      <c r="C37" s="18" t="n">
        <v>3458252</v>
      </c>
      <c r="D37" s="18" t="n">
        <v>1375311.7</v>
      </c>
      <c r="E37" s="17" t="n">
        <v>7910</v>
      </c>
    </row>
    <row r="38">
      <c r="A38" s="15" t="inlineStr">
        <is>
          <t>Europe</t>
        </is>
      </c>
      <c r="B38" s="15" t="inlineStr">
        <is>
          <t>Russia</t>
        </is>
      </c>
      <c r="C38" s="18" t="n">
        <v>1158502.59</v>
      </c>
      <c r="D38" s="18" t="n">
        <v>224598.75</v>
      </c>
      <c r="E38" s="17" t="n">
        <v>1779</v>
      </c>
    </row>
    <row r="39">
      <c r="A39" s="15" t="inlineStr">
        <is>
          <t>Europe</t>
        </is>
      </c>
      <c r="B39" s="15" t="inlineStr">
        <is>
          <t>San Marino</t>
        </is>
      </c>
      <c r="C39" s="18" t="n">
        <v>1212580</v>
      </c>
      <c r="D39" s="18" t="n">
        <v>455335</v>
      </c>
      <c r="E39" s="17" t="n">
        <v>4750</v>
      </c>
    </row>
    <row r="40">
      <c r="A40" s="15" t="inlineStr">
        <is>
          <t>Europe</t>
        </is>
      </c>
      <c r="B40" s="15" t="inlineStr">
        <is>
          <t>Slovakia</t>
        </is>
      </c>
      <c r="C40" s="18" t="n">
        <v>26344.26</v>
      </c>
      <c r="D40" s="18" t="n">
        <v>10795.23</v>
      </c>
      <c r="E40" s="17" t="n">
        <v>171</v>
      </c>
    </row>
    <row r="41">
      <c r="A41" s="15" t="inlineStr">
        <is>
          <t>Europe</t>
        </is>
      </c>
      <c r="B41" s="15" t="inlineStr">
        <is>
          <t>Slovenia</t>
        </is>
      </c>
      <c r="C41" s="18" t="n">
        <v>221117</v>
      </c>
      <c r="D41" s="18" t="n">
        <v>72975.60000000001</v>
      </c>
      <c r="E41" s="17" t="n">
        <v>4660</v>
      </c>
    </row>
    <row r="42">
      <c r="A42" s="15" t="inlineStr">
        <is>
          <t>Europe</t>
        </is>
      </c>
      <c r="B42" s="15" t="inlineStr">
        <is>
          <t>Spain</t>
        </is>
      </c>
      <c r="C42" s="18" t="n">
        <v>3015902.51</v>
      </c>
      <c r="D42" s="18" t="n">
        <v>747939.49</v>
      </c>
      <c r="E42" s="17" t="n">
        <v>4513</v>
      </c>
    </row>
    <row r="43">
      <c r="A43" s="15" t="inlineStr">
        <is>
          <t>Europe</t>
        </is>
      </c>
      <c r="B43" s="15" t="inlineStr">
        <is>
          <t>Switzerland</t>
        </is>
      </c>
      <c r="C43" s="18" t="n">
        <v>3808901.49</v>
      </c>
      <c r="D43" s="18" t="n">
        <v>1512729.45</v>
      </c>
      <c r="E43" s="17" t="n">
        <v>8934</v>
      </c>
    </row>
    <row r="44">
      <c r="A44" s="15" t="inlineStr">
        <is>
          <t>Europe</t>
        </is>
      </c>
      <c r="B44" s="15" t="inlineStr">
        <is>
          <t>United Kingdom</t>
        </is>
      </c>
      <c r="C44" s="18" t="n">
        <v>188452.14</v>
      </c>
      <c r="D44" s="18" t="n">
        <v>46735.86</v>
      </c>
      <c r="E44" s="17" t="n">
        <v>282</v>
      </c>
    </row>
    <row r="45">
      <c r="A45" s="15" t="inlineStr">
        <is>
          <t>Middle East and North Africa</t>
        </is>
      </c>
      <c r="B45" s="15" t="inlineStr">
        <is>
          <t>Azerbaijan</t>
        </is>
      </c>
      <c r="C45" s="18" t="n">
        <v>4478800.21</v>
      </c>
      <c r="D45" s="18" t="n">
        <v>1512926.83</v>
      </c>
      <c r="E45" s="17" t="n">
        <v>9255</v>
      </c>
    </row>
    <row r="46">
      <c r="A46" s="15" t="inlineStr">
        <is>
          <t>Middle East and North Africa</t>
        </is>
      </c>
      <c r="B46" s="15" t="inlineStr">
        <is>
          <t>Iran</t>
        </is>
      </c>
      <c r="C46" s="18" t="n">
        <v>2836990.8</v>
      </c>
      <c r="D46" s="18" t="n">
        <v>1128242.43</v>
      </c>
      <c r="E46" s="17" t="n">
        <v>6489</v>
      </c>
    </row>
    <row r="47">
      <c r="A47" s="15" t="inlineStr">
        <is>
          <t>Middle East and North Africa</t>
        </is>
      </c>
      <c r="B47" s="15" t="inlineStr">
        <is>
          <t>Kuwait</t>
        </is>
      </c>
      <c r="C47" s="18" t="n">
        <v>4870.26</v>
      </c>
      <c r="D47" s="18" t="n">
        <v>1258.02</v>
      </c>
      <c r="E47" s="17" t="n">
        <v>522</v>
      </c>
    </row>
    <row r="48">
      <c r="A48" s="15" t="inlineStr">
        <is>
          <t>Middle East and North Africa</t>
        </is>
      </c>
      <c r="B48" s="15" t="inlineStr">
        <is>
          <t>Lebanon</t>
        </is>
      </c>
      <c r="C48" s="18" t="n">
        <v>861563.52</v>
      </c>
      <c r="D48" s="18" t="n">
        <v>579000.96</v>
      </c>
      <c r="E48" s="17" t="n">
        <v>7884</v>
      </c>
    </row>
    <row r="49">
      <c r="A49" s="15" t="inlineStr">
        <is>
          <t>Middle East and North Africa</t>
        </is>
      </c>
      <c r="B49" s="15" t="inlineStr">
        <is>
          <t>Libya</t>
        </is>
      </c>
      <c r="C49" s="18" t="n">
        <v>674635.5699999999</v>
      </c>
      <c r="D49" s="18" t="n">
        <v>450780.97</v>
      </c>
      <c r="E49" s="17" t="n">
        <v>6789</v>
      </c>
    </row>
    <row r="50">
      <c r="A50" s="15" t="inlineStr">
        <is>
          <t>Middle East and North Africa</t>
        </is>
      </c>
      <c r="B50" s="15" t="inlineStr">
        <is>
          <t>Pakistan</t>
        </is>
      </c>
      <c r="C50" s="18" t="n">
        <v>4324782.4</v>
      </c>
      <c r="D50" s="18" t="n">
        <v>1719922.04</v>
      </c>
      <c r="E50" s="17" t="n">
        <v>9892</v>
      </c>
    </row>
    <row r="51">
      <c r="A51" s="15" t="inlineStr">
        <is>
          <t>Middle East and North Africa</t>
        </is>
      </c>
      <c r="B51" s="15" t="inlineStr">
        <is>
          <t>Saudi Arabia</t>
        </is>
      </c>
      <c r="C51" s="18" t="n">
        <v>835759.1</v>
      </c>
      <c r="D51" s="18" t="n">
        <v>359941.17</v>
      </c>
      <c r="E51" s="17" t="n">
        <v>4063</v>
      </c>
    </row>
    <row r="52">
      <c r="A52" s="15" t="inlineStr">
        <is>
          <t>Middle East and North Africa</t>
        </is>
      </c>
      <c r="B52" s="15" t="inlineStr">
        <is>
          <t>Syria</t>
        </is>
      </c>
      <c r="C52" s="18" t="n">
        <v>35304.72</v>
      </c>
      <c r="D52" s="18" t="n">
        <v>9119.440000000001</v>
      </c>
      <c r="E52" s="17" t="n">
        <v>3784</v>
      </c>
    </row>
    <row r="53">
      <c r="A53" s="15" t="inlineStr">
        <is>
          <t>North America</t>
        </is>
      </c>
      <c r="B53" s="15" t="inlineStr">
        <is>
          <t>Mexico</t>
        </is>
      </c>
      <c r="C53" s="18" t="n">
        <v>5643356.55</v>
      </c>
      <c r="D53" s="18" t="n">
        <v>1457942.76</v>
      </c>
      <c r="E53" s="17" t="n">
        <v>19143</v>
      </c>
    </row>
    <row r="54">
      <c r="A54" s="15" t="inlineStr">
        <is>
          <t>Sub-Saharan Africa</t>
        </is>
      </c>
      <c r="B54" s="15" t="inlineStr">
        <is>
          <t>Angola</t>
        </is>
      </c>
      <c r="C54" s="18" t="n">
        <v>2798046.49</v>
      </c>
      <c r="D54" s="18" t="n">
        <v>693911.51</v>
      </c>
      <c r="E54" s="17" t="n">
        <v>4187</v>
      </c>
    </row>
    <row r="55">
      <c r="A55" s="15" t="inlineStr">
        <is>
          <t>Sub-Saharan Africa</t>
        </is>
      </c>
      <c r="B55" s="15" t="inlineStr">
        <is>
          <t>Burkina Faso</t>
        </is>
      </c>
      <c r="C55" s="18" t="n">
        <v>1245112.92</v>
      </c>
      <c r="D55" s="18" t="n">
        <v>510216.66</v>
      </c>
      <c r="E55" s="17" t="n">
        <v>8082</v>
      </c>
    </row>
    <row r="56">
      <c r="A56" s="15" t="inlineStr">
        <is>
          <t>Sub-Saharan Africa</t>
        </is>
      </c>
      <c r="B56" s="15" t="inlineStr">
        <is>
          <t>Cameroon</t>
        </is>
      </c>
      <c r="C56" s="18" t="n">
        <v>3851030.28</v>
      </c>
      <c r="D56" s="18" t="n">
        <v>781681.3</v>
      </c>
      <c r="E56" s="17" t="n">
        <v>10948</v>
      </c>
    </row>
    <row r="57">
      <c r="A57" s="15" t="inlineStr">
        <is>
          <t>Sub-Saharan Africa</t>
        </is>
      </c>
      <c r="B57" s="15" t="inlineStr">
        <is>
          <t>Cape Verde</t>
        </is>
      </c>
      <c r="C57" s="18" t="n">
        <v>455479.04</v>
      </c>
      <c r="D57" s="18" t="n">
        <v>306097.92</v>
      </c>
      <c r="E57" s="17" t="n">
        <v>4168</v>
      </c>
    </row>
    <row r="58">
      <c r="A58" s="15" t="inlineStr">
        <is>
          <t>Sub-Saharan Africa</t>
        </is>
      </c>
      <c r="B58" s="15" t="inlineStr">
        <is>
          <t>Comoros</t>
        </is>
      </c>
      <c r="C58" s="18" t="n">
        <v>197883.4</v>
      </c>
      <c r="D58" s="18" t="n">
        <v>85223.58</v>
      </c>
      <c r="E58" s="17" t="n">
        <v>962</v>
      </c>
    </row>
    <row r="59">
      <c r="A59" s="15" t="inlineStr">
        <is>
          <t>Sub-Saharan Africa</t>
        </is>
      </c>
      <c r="B59" s="15" t="inlineStr">
        <is>
          <t>Cote d'Ivoire</t>
        </is>
      </c>
      <c r="C59" s="18" t="n">
        <v>380512.96</v>
      </c>
      <c r="D59" s="18" t="n">
        <v>255718.08</v>
      </c>
      <c r="E59" s="17" t="n">
        <v>3482</v>
      </c>
    </row>
    <row r="60">
      <c r="A60" s="15" t="inlineStr">
        <is>
          <t>Sub-Saharan Africa</t>
        </is>
      </c>
      <c r="B60" s="15" t="inlineStr">
        <is>
          <t>Democratic Republic of the Congo</t>
        </is>
      </c>
      <c r="C60" s="18" t="n">
        <v>272410.45</v>
      </c>
      <c r="D60" s="18" t="n">
        <v>89904.06</v>
      </c>
      <c r="E60" s="17" t="n">
        <v>5741</v>
      </c>
    </row>
    <row r="61">
      <c r="A61" s="15" t="inlineStr">
        <is>
          <t>Sub-Saharan Africa</t>
        </is>
      </c>
      <c r="B61" s="15" t="inlineStr">
        <is>
          <t>Djibouti</t>
        </is>
      </c>
      <c r="C61" s="18" t="n">
        <v>6052890.86</v>
      </c>
      <c r="D61" s="18" t="n">
        <v>2425317.87</v>
      </c>
      <c r="E61" s="17" t="n">
        <v>23198</v>
      </c>
    </row>
    <row r="62">
      <c r="A62" s="15" t="inlineStr">
        <is>
          <t>Sub-Saharan Africa</t>
        </is>
      </c>
      <c r="B62" s="15" t="inlineStr">
        <is>
          <t>Gabon</t>
        </is>
      </c>
      <c r="C62" s="18" t="n">
        <v>707454.88</v>
      </c>
      <c r="D62" s="18" t="n">
        <v>216919.36</v>
      </c>
      <c r="E62" s="17" t="n">
        <v>8656</v>
      </c>
    </row>
    <row r="63">
      <c r="A63" s="15" t="inlineStr">
        <is>
          <t>Sub-Saharan Africa</t>
        </is>
      </c>
      <c r="B63" s="15" t="inlineStr">
        <is>
          <t>Kenya</t>
        </is>
      </c>
      <c r="C63" s="18" t="n">
        <v>994765.42</v>
      </c>
      <c r="D63" s="18" t="n">
        <v>407630.41</v>
      </c>
      <c r="E63" s="17" t="n">
        <v>6457</v>
      </c>
    </row>
    <row r="64">
      <c r="A64" s="15" t="inlineStr">
        <is>
          <t>Sub-Saharan Africa</t>
        </is>
      </c>
      <c r="B64" s="15" t="inlineStr">
        <is>
          <t>Lesotho</t>
        </is>
      </c>
      <c r="C64" s="18" t="n">
        <v>89623.98</v>
      </c>
      <c r="D64" s="18" t="n">
        <v>23150.46</v>
      </c>
      <c r="E64" s="17" t="n">
        <v>9606</v>
      </c>
    </row>
    <row r="65">
      <c r="A65" s="15" t="inlineStr">
        <is>
          <t>Sub-Saharan Africa</t>
        </is>
      </c>
      <c r="B65" s="15" t="inlineStr">
        <is>
          <t>Madagascar</t>
        </is>
      </c>
      <c r="C65" s="18" t="n">
        <v>802333.76</v>
      </c>
      <c r="D65" s="18" t="n">
        <v>539196.48</v>
      </c>
      <c r="E65" s="17" t="n">
        <v>7342</v>
      </c>
    </row>
    <row r="66">
      <c r="A66" s="15" t="inlineStr">
        <is>
          <t>Sub-Saharan Africa</t>
        </is>
      </c>
      <c r="B66" s="15" t="inlineStr">
        <is>
          <t>Mali</t>
        </is>
      </c>
      <c r="C66" s="18" t="n">
        <v>151359.9</v>
      </c>
      <c r="D66" s="18" t="n">
        <v>79245.74000000001</v>
      </c>
      <c r="E66" s="17" t="n">
        <v>6710</v>
      </c>
    </row>
    <row r="67">
      <c r="A67" s="15" t="inlineStr">
        <is>
          <t>Sub-Saharan Africa</t>
        </is>
      </c>
      <c r="B67" s="15" t="inlineStr">
        <is>
          <t>Mauritania</t>
        </is>
      </c>
      <c r="C67" s="18" t="n">
        <v>824431.86</v>
      </c>
      <c r="D67" s="18" t="n">
        <v>159832.5</v>
      </c>
      <c r="E67" s="17" t="n">
        <v>1266</v>
      </c>
    </row>
    <row r="68">
      <c r="A68" s="15" t="inlineStr">
        <is>
          <t>Sub-Saharan Africa</t>
        </is>
      </c>
      <c r="B68" s="15" t="inlineStr">
        <is>
          <t>Mozambique</t>
        </is>
      </c>
      <c r="C68" s="18" t="n">
        <v>3586605.09</v>
      </c>
      <c r="D68" s="18" t="n">
        <v>889472.91</v>
      </c>
      <c r="E68" s="17" t="n">
        <v>5367</v>
      </c>
    </row>
    <row r="69">
      <c r="A69" s="15" t="inlineStr">
        <is>
          <t>Sub-Saharan Africa</t>
        </is>
      </c>
      <c r="B69" s="15" t="inlineStr">
        <is>
          <t>Niger</t>
        </is>
      </c>
      <c r="C69" s="18" t="n">
        <v>246415.95</v>
      </c>
      <c r="D69" s="18" t="n">
        <v>75555.89999999999</v>
      </c>
      <c r="E69" s="17" t="n">
        <v>3015</v>
      </c>
    </row>
    <row r="70">
      <c r="A70" s="15" t="inlineStr">
        <is>
          <t>Sub-Saharan Africa</t>
        </is>
      </c>
      <c r="B70" s="15" t="inlineStr">
        <is>
          <t>Republic of the Congo</t>
        </is>
      </c>
      <c r="C70" s="18" t="n">
        <v>496101.1</v>
      </c>
      <c r="D70" s="18" t="n">
        <v>152114.2</v>
      </c>
      <c r="E70" s="17" t="n">
        <v>6070</v>
      </c>
    </row>
    <row r="71">
      <c r="A71" s="15" t="inlineStr">
        <is>
          <t>Sub-Saharan Africa</t>
        </is>
      </c>
      <c r="B71" s="15" t="inlineStr">
        <is>
          <t>Rwanda</t>
        </is>
      </c>
      <c r="C71" s="18" t="n">
        <v>5253769.42</v>
      </c>
      <c r="D71" s="18" t="n">
        <v>1417493.49</v>
      </c>
      <c r="E71" s="17" t="n">
        <v>9539</v>
      </c>
    </row>
    <row r="72">
      <c r="A72" s="15" t="inlineStr">
        <is>
          <t>Sub-Saharan Africa</t>
        </is>
      </c>
      <c r="B72" s="15" t="inlineStr">
        <is>
          <t>Sao Tome and Principe</t>
        </is>
      </c>
      <c r="C72" s="18" t="n">
        <v>565780.9199999999</v>
      </c>
      <c r="D72" s="18" t="n">
        <v>176193.13</v>
      </c>
      <c r="E72" s="17" t="n">
        <v>24568</v>
      </c>
    </row>
    <row r="73">
      <c r="A73" s="15" t="inlineStr">
        <is>
          <t>Sub-Saharan Africa</t>
        </is>
      </c>
      <c r="B73" s="15" t="inlineStr">
        <is>
          <t>Senegal</t>
        </is>
      </c>
      <c r="C73" s="18" t="n">
        <v>1356180.1</v>
      </c>
      <c r="D73" s="18" t="n">
        <v>584073.87</v>
      </c>
      <c r="E73" s="17" t="n">
        <v>6593</v>
      </c>
    </row>
    <row r="74">
      <c r="A74" s="15" t="inlineStr">
        <is>
          <t>Sub-Saharan Africa</t>
        </is>
      </c>
      <c r="B74" s="15" t="inlineStr">
        <is>
          <t>Sierra Leone</t>
        </is>
      </c>
      <c r="C74" s="18" t="n">
        <v>3097359.15</v>
      </c>
      <c r="D74" s="18" t="n">
        <v>649879.3</v>
      </c>
      <c r="E74" s="17" t="n">
        <v>5890</v>
      </c>
    </row>
    <row r="75">
      <c r="A75" s="15" t="inlineStr">
        <is>
          <t>Sub-Saharan Africa</t>
        </is>
      </c>
      <c r="B75" s="15" t="inlineStr">
        <is>
          <t>South Sudan</t>
        </is>
      </c>
      <c r="C75" s="18" t="n">
        <v>173676.25</v>
      </c>
      <c r="D75" s="18" t="n">
        <v>53252.5</v>
      </c>
      <c r="E75" s="17" t="n">
        <v>2125</v>
      </c>
    </row>
    <row r="76">
      <c r="A76" s="15" t="inlineStr">
        <is>
          <t>Sub-Saharan Africa</t>
        </is>
      </c>
      <c r="B76" s="15" t="inlineStr">
        <is>
          <t>The Gambia</t>
        </is>
      </c>
      <c r="C76" s="18" t="n">
        <v>5449517.949999999</v>
      </c>
      <c r="D76" s="18" t="n">
        <v>1385883.27</v>
      </c>
      <c r="E76" s="17" t="n">
        <v>14813</v>
      </c>
    </row>
    <row r="77">
      <c r="A77" s="15" t="inlineStr">
        <is>
          <t>Sub-Saharan Africa</t>
        </is>
      </c>
      <c r="B77" s="15" t="inlineStr">
        <is>
          <t>Zambia</t>
        </is>
      </c>
      <c r="C77" s="18" t="n">
        <v>623289.3</v>
      </c>
      <c r="D77" s="18" t="n">
        <v>225246.9</v>
      </c>
      <c r="E77" s="17" t="n">
        <v>4085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2026-09-29T13:07:33Z</dcterms:created>
  <dcterms:modified xmlns:dcterms="http://purl.org/dc/terms/" xmlns:xsi="http://www.w3.org/2001/XMLSchema-instance" xsi:type="dcterms:W3CDTF">2026-09-29T13:07:33Z</dcterms:modified>
</cp:coreProperties>
</file>